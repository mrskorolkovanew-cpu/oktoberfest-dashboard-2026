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4C5CFFD1-B88F-4A92-BDBB-0F625AE94D5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Октоберфест" sheetId="1" r:id="rId1"/>
    <sheet name="Факт" sheetId="2" r:id="rId2"/>
    <sheet name="Свод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1" l="1"/>
  <c r="E40" i="3"/>
  <c r="E39" i="3"/>
  <c r="E38" i="3"/>
  <c r="C37" i="3"/>
  <c r="E37" i="3" s="1"/>
  <c r="E36" i="3"/>
  <c r="C35" i="3"/>
  <c r="E35" i="3" s="1"/>
  <c r="E34" i="3"/>
  <c r="E33" i="3"/>
  <c r="E32" i="3"/>
  <c r="E31" i="3"/>
  <c r="F30" i="3"/>
  <c r="E30" i="3"/>
  <c r="E29" i="3"/>
  <c r="E28" i="3"/>
  <c r="E27" i="3"/>
  <c r="E26" i="3"/>
  <c r="E25" i="3"/>
  <c r="E24" i="3"/>
  <c r="E23" i="3"/>
  <c r="C22" i="3"/>
  <c r="E22" i="3" s="1"/>
  <c r="F21" i="3"/>
  <c r="G21" i="3" s="1"/>
  <c r="E15" i="3"/>
  <c r="E14" i="3"/>
  <c r="F8" i="3"/>
  <c r="F7" i="3"/>
  <c r="F6" i="3"/>
  <c r="F5" i="3"/>
  <c r="F4" i="3"/>
  <c r="F3" i="3"/>
  <c r="F2" i="3"/>
  <c r="F40" i="2"/>
  <c r="F40" i="3" s="1"/>
  <c r="F39" i="2"/>
  <c r="D37" i="2"/>
  <c r="F37" i="2" s="1"/>
  <c r="F37" i="3" s="1"/>
  <c r="D36" i="2"/>
  <c r="F36" i="2" s="1"/>
  <c r="F36" i="3" s="1"/>
  <c r="D35" i="2"/>
  <c r="F35" i="2" s="1"/>
  <c r="F35" i="3" s="1"/>
  <c r="F34" i="2"/>
  <c r="F34" i="3" s="1"/>
  <c r="F32" i="2"/>
  <c r="F32" i="3" s="1"/>
  <c r="G32" i="3" s="1"/>
  <c r="D31" i="2"/>
  <c r="F28" i="2"/>
  <c r="F28" i="3" s="1"/>
  <c r="G28" i="3" s="1"/>
  <c r="F27" i="2"/>
  <c r="F27" i="3" s="1"/>
  <c r="G27" i="3" s="1"/>
  <c r="F26" i="2"/>
  <c r="F26" i="3" s="1"/>
  <c r="G26" i="3" s="1"/>
  <c r="F25" i="2"/>
  <c r="F25" i="3" s="1"/>
  <c r="G25" i="3" s="1"/>
  <c r="F24" i="2"/>
  <c r="F24" i="3" s="1"/>
  <c r="G24" i="3" s="1"/>
  <c r="F23" i="2"/>
  <c r="F23" i="3" s="1"/>
  <c r="G23" i="3" s="1"/>
  <c r="D22" i="2"/>
  <c r="F22" i="2" s="1"/>
  <c r="F20" i="2"/>
  <c r="F20" i="3" s="1"/>
  <c r="G20" i="3" s="1"/>
  <c r="F15" i="2"/>
  <c r="F15" i="3" s="1"/>
  <c r="G15" i="3" s="1"/>
  <c r="F14" i="2"/>
  <c r="F40" i="1"/>
  <c r="F39" i="1"/>
  <c r="F38" i="1"/>
  <c r="I37" i="1"/>
  <c r="D37" i="1"/>
  <c r="F37" i="1" s="1"/>
  <c r="I36" i="1"/>
  <c r="F36" i="1"/>
  <c r="D35" i="1"/>
  <c r="F35" i="1" s="1"/>
  <c r="I35" i="1" s="1"/>
  <c r="I34" i="1"/>
  <c r="F34" i="1"/>
  <c r="F32" i="1"/>
  <c r="F31" i="1"/>
  <c r="F30" i="1"/>
  <c r="F29" i="1"/>
  <c r="F28" i="1"/>
  <c r="F27" i="1"/>
  <c r="F26" i="1"/>
  <c r="F25" i="1"/>
  <c r="F24" i="1"/>
  <c r="F23" i="1"/>
  <c r="D22" i="1"/>
  <c r="F22" i="1" s="1"/>
  <c r="F15" i="1"/>
  <c r="F14" i="1"/>
  <c r="G30" i="3" l="1"/>
  <c r="G40" i="3"/>
  <c r="G36" i="3"/>
  <c r="G34" i="3"/>
  <c r="F19" i="1"/>
  <c r="F18" i="1" s="1"/>
  <c r="E13" i="3"/>
  <c r="F39" i="3"/>
  <c r="G39" i="3" s="1"/>
  <c r="F38" i="2"/>
  <c r="F38" i="3" s="1"/>
  <c r="G38" i="3" s="1"/>
  <c r="D33" i="2"/>
  <c r="F33" i="2" s="1"/>
  <c r="F33" i="3" s="1"/>
  <c r="G33" i="3" s="1"/>
  <c r="F31" i="2"/>
  <c r="F22" i="3"/>
  <c r="G22" i="3" s="1"/>
  <c r="F14" i="3"/>
  <c r="G14" i="3" s="1"/>
  <c r="F13" i="2"/>
  <c r="F13" i="3" s="1"/>
  <c r="G13" i="3" s="1"/>
  <c r="F13" i="1"/>
  <c r="F11" i="1"/>
  <c r="E19" i="3"/>
  <c r="G37" i="3"/>
  <c r="G35" i="3"/>
  <c r="E18" i="3" l="1"/>
  <c r="E11" i="3"/>
  <c r="F31" i="3"/>
  <c r="G31" i="3" s="1"/>
  <c r="F29" i="2"/>
  <c r="F19" i="2" l="1"/>
  <c r="F29" i="3"/>
  <c r="G29" i="3" s="1"/>
  <c r="F18" i="2" l="1"/>
  <c r="F18" i="3" s="1"/>
  <c r="G18" i="3" s="1"/>
  <c r="F19" i="3"/>
  <c r="G19" i="3" s="1"/>
  <c r="F11" i="2"/>
  <c r="F11" i="3" s="1"/>
  <c r="G1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Источник: сообщение Кристины от 2026-10-26. За всех аниматоров оплачено 158 537,00 ₽, включая НДС 6%. Расчётное распределение по заложенным человеко-часам: интерактивы 4 × 5 × 3 = 60, мастер-классы 4 × 6 = 24. Общая ставка включает НДС; повторное увеличение на налог не применяется. Фактическая разбивка оплаты по группам не предоставлена.</t>
        </r>
      </text>
    </comment>
  </commentList>
</comments>
</file>

<file path=xl/sharedStrings.xml><?xml version="1.0" encoding="utf-8"?>
<sst xmlns="http://schemas.openxmlformats.org/spreadsheetml/2006/main" count="150" uniqueCount="47">
  <si>
    <t>Средний чек</t>
  </si>
  <si>
    <t>Посещение</t>
  </si>
  <si>
    <t>СС фуд</t>
  </si>
  <si>
    <t>налоги на ФОТ ФУД (*1,46)</t>
  </si>
  <si>
    <t>Дней работы</t>
  </si>
  <si>
    <t>Аниматоры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</si>
  <si>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</si>
  <si>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</si>
  <si>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</si>
  <si>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</si>
  <si>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</si>
  <si>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</si>
  <si>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</si>
  <si>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</si>
  <si>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Изготовление и поставка рекламного баннера</t>
  </si>
  <si>
    <t>Изготовление билетов и купонов (с доставкой)</t>
  </si>
  <si>
    <t>ФОТ ФУД</t>
  </si>
  <si>
    <t>Повара</t>
  </si>
  <si>
    <t>смена</t>
  </si>
  <si>
    <t>Клининг</t>
  </si>
  <si>
    <t>Официанты</t>
  </si>
  <si>
    <t>Бармены</t>
  </si>
  <si>
    <t>Ивенты ФОТ</t>
  </si>
  <si>
    <t>Ведущий (13 часов)</t>
  </si>
  <si>
    <t>час</t>
  </si>
  <si>
    <t xml:space="preserve">Аниматоры интерактивов </t>
  </si>
  <si>
    <t>минус</t>
  </si>
  <si>
    <t>Диджей (2 часа)</t>
  </si>
  <si>
    <t>Мастер классы (аниматоры 6 часов)</t>
  </si>
  <si>
    <t>Мастер классы (расходники на 2 дня)</t>
  </si>
  <si>
    <t>за 2 дня</t>
  </si>
  <si>
    <t>Аренда оборудования (для ведущего и диджея) за три дня</t>
  </si>
  <si>
    <t>за 3 дня</t>
  </si>
  <si>
    <t>Покупка костюмов аниматорам+ведущий</t>
  </si>
  <si>
    <t>Покупка/аренда декора в зону сцены ( бочки-столы (8шт), гирлянда)</t>
  </si>
  <si>
    <t>сено берем у альпак</t>
  </si>
  <si>
    <t>Оборудование ФУД</t>
  </si>
  <si>
    <t>Стоимость гриля (за 3 шт)</t>
  </si>
  <si>
    <t>Покупаем один раз и используем на всех фестивалях</t>
  </si>
  <si>
    <t>Призовой фонд</t>
  </si>
  <si>
    <t>вед</t>
  </si>
  <si>
    <t>с диджей</t>
  </si>
  <si>
    <t>Реклама и продвижение (яндекс директ и VK)</t>
  </si>
  <si>
    <t>Диджей (3 часа)</t>
  </si>
  <si>
    <t>План</t>
  </si>
  <si>
    <t>Факт</t>
  </si>
  <si>
    <t>Отклонение, ₽
Факт − План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</si>
</sst>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₽&quot;_-;\-* #,##0.00\ &quot;₽&quot;_-;_-* &quot;-&quot;??\ &quot;₽&quot;_-;_-@_-"/>
    <numFmt numFmtId="164" formatCode="#,##0.00;[Red]\-#,##0.00;0.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3285927915285"/>
        <bgColor indexed="6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8" tint="0.79992065187536243"/>
        <bgColor indexed="65"/>
      </patternFill>
    </fill>
    <fill>
      <patternFill patternType="solid">
        <fgColor rgb="FFFF0000"/>
      </patternFill>
    </fill>
    <fill>
      <patternFill patternType="solid">
        <fgColor rgb="FFFFFF00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6">
    <xf numFmtId="0" fontId="0" fillId="0" borderId="0" xfId="0"/>
    <xf numFmtId="1" fontId="0" fillId="0" borderId="0" xfId="0" applyNumberFormat="1"/>
    <xf numFmtId="44" fontId="0" fillId="0" borderId="0" xfId="1" applyFont="1"/>
    <xf numFmtId="9" fontId="3" fillId="5" borderId="0" xfId="2" applyFont="1" applyFill="1"/>
    <xf numFmtId="0" fontId="4" fillId="0" borderId="0" xfId="0" applyFont="1" applyAlignment="1">
      <alignment horizontal="center"/>
    </xf>
    <xf numFmtId="44" fontId="2" fillId="0" borderId="3" xfId="0" applyNumberFormat="1" applyFont="1" applyBorder="1"/>
    <xf numFmtId="44" fontId="2" fillId="0" borderId="4" xfId="1" applyFont="1" applyBorder="1"/>
    <xf numFmtId="44" fontId="5" fillId="0" borderId="4" xfId="1" applyFont="1" applyBorder="1"/>
    <xf numFmtId="9" fontId="3" fillId="0" borderId="0" xfId="2" applyFont="1" applyFill="1"/>
    <xf numFmtId="0" fontId="0" fillId="0" borderId="0" xfId="0" applyAlignment="1">
      <alignment wrapText="1"/>
    </xf>
    <xf numFmtId="44" fontId="0" fillId="0" borderId="0" xfId="0" applyNumberFormat="1"/>
    <xf numFmtId="0" fontId="5" fillId="0" borderId="4" xfId="0" applyFont="1" applyBorder="1" applyAlignment="1">
      <alignment wrapText="1"/>
    </xf>
    <xf numFmtId="0" fontId="6" fillId="2" borderId="1" xfId="0" applyFont="1" applyFill="1" applyBorder="1"/>
    <xf numFmtId="0" fontId="6" fillId="2" borderId="2" xfId="0" applyFont="1" applyFill="1" applyBorder="1"/>
    <xf numFmtId="0" fontId="2" fillId="2" borderId="0" xfId="0" applyFont="1" applyFill="1"/>
    <xf numFmtId="44" fontId="2" fillId="2" borderId="0" xfId="0" applyNumberFormat="1" applyFont="1" applyFill="1" applyAlignment="1">
      <alignment horizontal="center" vertical="center"/>
    </xf>
    <xf numFmtId="0" fontId="6" fillId="3" borderId="1" xfId="0" applyFont="1" applyFill="1" applyBorder="1"/>
    <xf numFmtId="0" fontId="6" fillId="3" borderId="2" xfId="0" applyFont="1" applyFill="1" applyBorder="1"/>
    <xf numFmtId="0" fontId="2" fillId="3" borderId="3" xfId="0" applyFont="1" applyFill="1" applyBorder="1"/>
    <xf numFmtId="44" fontId="2" fillId="3" borderId="3" xfId="0" applyNumberFormat="1" applyFont="1" applyFill="1" applyBorder="1"/>
    <xf numFmtId="0" fontId="5" fillId="0" borderId="4" xfId="0" applyFont="1" applyBorder="1"/>
    <xf numFmtId="0" fontId="5" fillId="0" borderId="7" xfId="0" applyFont="1" applyBorder="1"/>
    <xf numFmtId="0" fontId="6" fillId="4" borderId="5" xfId="0" applyFont="1" applyFill="1" applyBorder="1"/>
    <xf numFmtId="0" fontId="6" fillId="4" borderId="6" xfId="0" applyFont="1" applyFill="1" applyBorder="1"/>
    <xf numFmtId="0" fontId="2" fillId="4" borderId="3" xfId="0" applyFont="1" applyFill="1" applyBorder="1"/>
    <xf numFmtId="44" fontId="2" fillId="4" borderId="3" xfId="0" applyNumberFormat="1" applyFont="1" applyFill="1" applyBorder="1"/>
    <xf numFmtId="0" fontId="5" fillId="0" borderId="3" xfId="0" applyFont="1" applyBorder="1"/>
    <xf numFmtId="0" fontId="2" fillId="0" borderId="3" xfId="0" applyFont="1" applyBorder="1"/>
    <xf numFmtId="44" fontId="5" fillId="0" borderId="4" xfId="0" applyNumberFormat="1" applyFont="1" applyBorder="1"/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right"/>
    </xf>
    <xf numFmtId="44" fontId="6" fillId="2" borderId="8" xfId="0" applyNumberFormat="1" applyFont="1" applyFill="1" applyBorder="1" applyAlignment="1">
      <alignment horizontal="center" vertical="center"/>
    </xf>
    <xf numFmtId="44" fontId="6" fillId="3" borderId="8" xfId="0" applyNumberFormat="1" applyFont="1" applyFill="1" applyBorder="1" applyAlignment="1">
      <alignment horizontal="center" vertical="center"/>
    </xf>
    <xf numFmtId="44" fontId="6" fillId="4" borderId="9" xfId="1" applyFont="1" applyFill="1" applyBorder="1"/>
    <xf numFmtId="0" fontId="5" fillId="6" borderId="4" xfId="0" applyFont="1" applyFill="1" applyBorder="1"/>
    <xf numFmtId="0" fontId="5" fillId="6" borderId="4" xfId="0" applyFont="1" applyFill="1" applyBorder="1" applyAlignment="1">
      <alignment horizontal="center"/>
    </xf>
    <xf numFmtId="44" fontId="5" fillId="6" borderId="4" xfId="0" applyNumberFormat="1" applyFont="1" applyFill="1" applyBorder="1"/>
    <xf numFmtId="44" fontId="5" fillId="6" borderId="4" xfId="1" applyFont="1" applyFill="1" applyBorder="1"/>
    <xf numFmtId="0" fontId="0" fillId="6" borderId="0" xfId="0" applyFill="1"/>
    <xf numFmtId="0" fontId="0" fillId="0" borderId="0" xfId="0" applyAlignment="1">
      <alignment horizontal="right"/>
    </xf>
    <xf numFmtId="0" fontId="4" fillId="0" borderId="0" xfId="0" applyFont="1"/>
    <xf numFmtId="44" fontId="4" fillId="0" borderId="0" xfId="0" applyNumberFormat="1" applyFont="1"/>
    <xf numFmtId="44" fontId="4" fillId="0" borderId="4" xfId="1" applyFont="1" applyBorder="1"/>
    <xf numFmtId="44" fontId="7" fillId="0" borderId="4" xfId="1" applyFont="1" applyBorder="1"/>
    <xf numFmtId="44" fontId="7" fillId="0" borderId="3" xfId="0" applyNumberFormat="1" applyFont="1" applyBorder="1"/>
    <xf numFmtId="0" fontId="4" fillId="0" borderId="0" xfId="0" applyFont="1" applyAlignment="1">
      <alignment horizontal="center" vertical="center" wrapText="1"/>
    </xf>
    <xf numFmtId="164" fontId="6" fillId="2" borderId="8" xfId="0" applyNumberFormat="1" applyFont="1" applyFill="1" applyBorder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164" fontId="6" fillId="3" borderId="8" xfId="0" applyNumberFormat="1" applyFont="1" applyFill="1" applyBorder="1" applyAlignment="1">
      <alignment horizontal="center" vertical="center"/>
    </xf>
    <xf numFmtId="164" fontId="2" fillId="3" borderId="3" xfId="0" applyNumberFormat="1" applyFont="1" applyFill="1" applyBorder="1"/>
    <xf numFmtId="164" fontId="5" fillId="0" borderId="4" xfId="0" applyNumberFormat="1" applyFont="1" applyBorder="1"/>
    <xf numFmtId="164" fontId="5" fillId="0" borderId="7" xfId="0" applyNumberFormat="1" applyFont="1" applyBorder="1"/>
    <xf numFmtId="164" fontId="6" fillId="4" borderId="9" xfId="0" applyNumberFormat="1" applyFont="1" applyFill="1" applyBorder="1"/>
    <xf numFmtId="164" fontId="2" fillId="4" borderId="3" xfId="0" applyNumberFormat="1" applyFont="1" applyFill="1" applyBorder="1"/>
    <xf numFmtId="164" fontId="7" fillId="0" borderId="3" xfId="0" applyNumberFormat="1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164" fontId="4" fillId="0" borderId="4" xfId="0" applyNumberFormat="1" applyFont="1" applyBorder="1"/>
    <xf numFmtId="164" fontId="4" fillId="6" borderId="4" xfId="0" applyNumberFormat="1" applyFont="1" applyFill="1" applyBorder="1"/>
    <xf numFmtId="164" fontId="7" fillId="0" borderId="4" xfId="0" applyNumberFormat="1" applyFont="1" applyBorder="1"/>
    <xf numFmtId="9" fontId="3" fillId="5" borderId="0" xfId="0" applyNumberFormat="1" applyFont="1" applyFill="1"/>
    <xf numFmtId="4" fontId="0" fillId="0" borderId="0" xfId="0" applyNumberFormat="1"/>
    <xf numFmtId="3" fontId="0" fillId="0" borderId="0" xfId="0" applyNumberFormat="1"/>
    <xf numFmtId="44" fontId="4" fillId="0" borderId="4" xfId="1" applyFont="1" applyFill="1" applyBorder="1"/>
    <xf numFmtId="44" fontId="5" fillId="0" borderId="4" xfId="1" applyFont="1" applyFill="1" applyBorder="1"/>
  </cellXfs>
  <cellStyles count="3">
    <cellStyle name="Денежный" xfId="1" xr:uid="{00000000-0005-0000-0000-000000000000}"/>
    <cellStyle name="Обычный" xfId="0" builtinId="0"/>
    <cellStyle name="Процентный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501650</xdr:colOff>
      <xdr:row>34</xdr:row>
      <xdr:rowOff>50800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3F4FBB7C-38AB-8404-D143-1FD8136B6D3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501650</xdr:colOff>
      <xdr:row>34</xdr:row>
      <xdr:rowOff>50800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71FE86BE-6B7B-F266-6624-48057B4D645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501650</xdr:colOff>
      <xdr:row>34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537FAA02-38CF-2DAB-4D1E-2C14D339403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51"/>
  <sheetViews>
    <sheetView tabSelected="1" topLeftCell="A18" zoomScale="64" zoomScaleNormal="64" workbookViewId="0">
      <selection activeCell="M35" sqref="M35"/>
    </sheetView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  <col min="7" max="7" width="69.7265625" customWidth="1"/>
    <col min="9" max="9" width="13.36328125" customWidth="1"/>
  </cols>
  <sheetData>
    <row r="2" spans="2:6" x14ac:dyDescent="0.35">
      <c r="B2" t="s">
        <v>0</v>
      </c>
      <c r="C2" s="2">
        <v>2500</v>
      </c>
    </row>
    <row r="3" spans="2:6" x14ac:dyDescent="0.35">
      <c r="B3" t="s">
        <v>1</v>
      </c>
      <c r="C3">
        <v>5000</v>
      </c>
    </row>
    <row r="4" spans="2:6" x14ac:dyDescent="0.35">
      <c r="B4" t="s">
        <v>2</v>
      </c>
      <c r="C4" s="3">
        <v>0.23</v>
      </c>
      <c r="D4" s="8"/>
      <c r="E4" s="8"/>
    </row>
    <row r="5" spans="2:6" x14ac:dyDescent="0.35">
      <c r="B5" t="s">
        <v>3</v>
      </c>
      <c r="C5" s="3">
        <v>0.46</v>
      </c>
      <c r="D5" s="8"/>
      <c r="E5" s="8"/>
    </row>
    <row r="6" spans="2:6" x14ac:dyDescent="0.35">
      <c r="B6" t="s">
        <v>4</v>
      </c>
      <c r="C6">
        <v>3</v>
      </c>
    </row>
    <row r="7" spans="2:6" x14ac:dyDescent="0.35">
      <c r="B7" t="s">
        <v>5</v>
      </c>
      <c r="C7">
        <v>6</v>
      </c>
    </row>
    <row r="8" spans="2:6" x14ac:dyDescent="0.35">
      <c r="B8" t="s">
        <v>6</v>
      </c>
      <c r="C8" s="2">
        <v>20000</v>
      </c>
      <c r="D8" s="2"/>
      <c r="E8" s="2"/>
    </row>
    <row r="10" spans="2:6" x14ac:dyDescent="0.35">
      <c r="F10" s="4"/>
    </row>
    <row r="11" spans="2:6" ht="15.5" x14ac:dyDescent="0.35">
      <c r="B11" s="12" t="s">
        <v>7</v>
      </c>
      <c r="C11" s="13"/>
      <c r="D11" s="13"/>
      <c r="E11" s="13"/>
      <c r="F11" s="32">
        <f>F14-F19</f>
        <v>7256379.1489361702</v>
      </c>
    </row>
    <row r="12" spans="2:6" x14ac:dyDescent="0.35">
      <c r="B12" s="14"/>
      <c r="C12" s="14"/>
      <c r="D12" s="14"/>
      <c r="E12" s="14"/>
      <c r="F12" s="15"/>
    </row>
    <row r="13" spans="2:6" ht="15.5" x14ac:dyDescent="0.35">
      <c r="B13" s="16" t="s">
        <v>8</v>
      </c>
      <c r="C13" s="17"/>
      <c r="D13" s="17"/>
      <c r="E13" s="17"/>
      <c r="F13" s="33">
        <f>F14</f>
        <v>12500000</v>
      </c>
    </row>
    <row r="14" spans="2:6" x14ac:dyDescent="0.35">
      <c r="B14" s="18" t="s">
        <v>9</v>
      </c>
      <c r="C14" s="18"/>
      <c r="D14" s="18"/>
      <c r="E14" s="18"/>
      <c r="F14" s="19">
        <f>SUM(F15:F17)</f>
        <v>12500000</v>
      </c>
    </row>
    <row r="15" spans="2:6" x14ac:dyDescent="0.35">
      <c r="B15" s="20" t="s">
        <v>10</v>
      </c>
      <c r="C15" s="20"/>
      <c r="D15" s="20"/>
      <c r="E15" s="20"/>
      <c r="F15" s="7">
        <f>C2*C3</f>
        <v>12500000</v>
      </c>
    </row>
    <row r="16" spans="2:6" x14ac:dyDescent="0.35">
      <c r="B16" s="21"/>
      <c r="C16" s="21"/>
      <c r="D16" s="21"/>
      <c r="E16" s="21"/>
      <c r="F16" s="20"/>
    </row>
    <row r="17" spans="2:9" x14ac:dyDescent="0.35">
      <c r="B17" s="21"/>
      <c r="C17" s="21"/>
      <c r="D17" s="21"/>
      <c r="E17" s="21"/>
      <c r="F17" s="21"/>
    </row>
    <row r="18" spans="2:9" ht="15.5" x14ac:dyDescent="0.35">
      <c r="B18" s="22" t="s">
        <v>11</v>
      </c>
      <c r="C18" s="23"/>
      <c r="D18" s="23"/>
      <c r="E18" s="23"/>
      <c r="F18" s="34">
        <f>F19</f>
        <v>5243620.8510638298</v>
      </c>
    </row>
    <row r="19" spans="2:9" x14ac:dyDescent="0.35">
      <c r="B19" s="24" t="s">
        <v>12</v>
      </c>
      <c r="C19" s="24"/>
      <c r="D19" s="24"/>
      <c r="E19" s="24"/>
      <c r="F19" s="25">
        <f>F20+F21+F22+F23+F24+F38+F40+F29+F34+F35+F36+F37</f>
        <v>5243620.8510638298</v>
      </c>
    </row>
    <row r="20" spans="2:9" x14ac:dyDescent="0.35">
      <c r="B20" s="26" t="s">
        <v>13</v>
      </c>
      <c r="C20" s="27"/>
      <c r="D20" s="27"/>
      <c r="E20" s="27"/>
      <c r="F20" s="5">
        <v>400000</v>
      </c>
    </row>
    <row r="21" spans="2:9" x14ac:dyDescent="0.35">
      <c r="B21" s="26" t="s">
        <v>14</v>
      </c>
      <c r="C21" s="27"/>
      <c r="D21" s="27"/>
      <c r="E21" s="27"/>
      <c r="F21" s="5">
        <v>30000</v>
      </c>
    </row>
    <row r="22" spans="2:9" x14ac:dyDescent="0.35">
      <c r="B22" s="26" t="s">
        <v>15</v>
      </c>
      <c r="C22" s="27"/>
      <c r="D22" s="28">
        <f>6200+500+2500</f>
        <v>9200</v>
      </c>
      <c r="E22" s="27"/>
      <c r="F22" s="5">
        <f>D22</f>
        <v>9200</v>
      </c>
    </row>
    <row r="23" spans="2:9" x14ac:dyDescent="0.35">
      <c r="B23" s="20" t="s">
        <v>10</v>
      </c>
      <c r="C23" s="20"/>
      <c r="D23" s="20"/>
      <c r="E23" s="20"/>
      <c r="F23" s="6">
        <f>C2*C3*C4</f>
        <v>2875000</v>
      </c>
    </row>
    <row r="24" spans="2:9" x14ac:dyDescent="0.35">
      <c r="B24" s="20" t="s">
        <v>16</v>
      </c>
      <c r="C24" s="20"/>
      <c r="D24" s="20"/>
      <c r="E24" s="20"/>
      <c r="F24" s="6">
        <f>SUM(F25:F28)</f>
        <v>1081860</v>
      </c>
    </row>
    <row r="25" spans="2:9" x14ac:dyDescent="0.35">
      <c r="B25" s="20" t="s">
        <v>17</v>
      </c>
      <c r="C25" s="29">
        <v>12</v>
      </c>
      <c r="D25" s="28">
        <v>6500</v>
      </c>
      <c r="E25" s="20" t="s">
        <v>18</v>
      </c>
      <c r="F25" s="7">
        <f>(D25*C25)*1.46*C6</f>
        <v>341640</v>
      </c>
    </row>
    <row r="26" spans="2:9" x14ac:dyDescent="0.35">
      <c r="B26" s="20" t="s">
        <v>19</v>
      </c>
      <c r="C26" s="29">
        <v>6</v>
      </c>
      <c r="D26" s="28">
        <v>4000</v>
      </c>
      <c r="E26" s="20" t="s">
        <v>18</v>
      </c>
      <c r="F26" s="7">
        <f>(D26*C26)*1.46*C6</f>
        <v>105120</v>
      </c>
    </row>
    <row r="27" spans="2:9" x14ac:dyDescent="0.35">
      <c r="B27" s="20" t="s">
        <v>20</v>
      </c>
      <c r="C27" s="29">
        <v>25</v>
      </c>
      <c r="D27" s="28">
        <v>4000</v>
      </c>
      <c r="E27" s="20" t="s">
        <v>18</v>
      </c>
      <c r="F27" s="7">
        <f>(D27*C27)*1.46*C6</f>
        <v>438000</v>
      </c>
    </row>
    <row r="28" spans="2:9" x14ac:dyDescent="0.35">
      <c r="B28" s="20" t="s">
        <v>21</v>
      </c>
      <c r="C28" s="29">
        <v>10</v>
      </c>
      <c r="D28" s="28">
        <v>4500</v>
      </c>
      <c r="E28" s="20" t="s">
        <v>18</v>
      </c>
      <c r="F28" s="7">
        <f>(D28*C28)*1.46*C6</f>
        <v>197100</v>
      </c>
    </row>
    <row r="29" spans="2:9" x14ac:dyDescent="0.35">
      <c r="B29" s="20" t="s">
        <v>22</v>
      </c>
      <c r="C29" s="29"/>
      <c r="D29" s="28"/>
      <c r="E29" s="28"/>
      <c r="F29" s="6">
        <f>SUM(F30:F33)</f>
        <v>244680.85106382982</v>
      </c>
    </row>
    <row r="30" spans="2:9" x14ac:dyDescent="0.35">
      <c r="B30" s="20" t="s">
        <v>23</v>
      </c>
      <c r="C30" s="29">
        <v>1</v>
      </c>
      <c r="D30" s="28">
        <v>4000</v>
      </c>
      <c r="E30" s="20" t="s">
        <v>24</v>
      </c>
      <c r="F30" s="7">
        <f>(D30*C30*13)/0.94</f>
        <v>55319.148936170219</v>
      </c>
      <c r="I30" s="41">
        <v>55315</v>
      </c>
    </row>
    <row r="31" spans="2:9" x14ac:dyDescent="0.35">
      <c r="B31" s="20" t="s">
        <v>25</v>
      </c>
      <c r="C31" s="30">
        <v>4</v>
      </c>
      <c r="D31" s="28">
        <v>2000</v>
      </c>
      <c r="E31" s="20" t="s">
        <v>24</v>
      </c>
      <c r="F31" s="7">
        <f>(D31*C31*5*C6)/0.94</f>
        <v>127659.57446808512</v>
      </c>
      <c r="G31" s="40" t="s">
        <v>26</v>
      </c>
      <c r="H31">
        <v>3000</v>
      </c>
    </row>
    <row r="32" spans="2:9" x14ac:dyDescent="0.35">
      <c r="B32" s="20" t="s">
        <v>27</v>
      </c>
      <c r="C32" s="30">
        <v>1</v>
      </c>
      <c r="D32" s="28">
        <v>5000</v>
      </c>
      <c r="E32" s="20" t="s">
        <v>24</v>
      </c>
      <c r="F32" s="65">
        <f>((D32*C32)*2)/0.94</f>
        <v>10638.297872340427</v>
      </c>
      <c r="H32">
        <v>5000</v>
      </c>
      <c r="I32" s="41">
        <v>15957</v>
      </c>
    </row>
    <row r="33" spans="2:9" x14ac:dyDescent="0.35">
      <c r="B33" s="20" t="s">
        <v>28</v>
      </c>
      <c r="C33" s="30">
        <v>4</v>
      </c>
      <c r="D33" s="28">
        <v>2000</v>
      </c>
      <c r="E33" s="20" t="s">
        <v>24</v>
      </c>
      <c r="F33" s="7">
        <f>((C33*D33)*6)/0.94</f>
        <v>51063.829787234048</v>
      </c>
    </row>
    <row r="34" spans="2:9" x14ac:dyDescent="0.35">
      <c r="B34" s="20" t="s">
        <v>29</v>
      </c>
      <c r="C34" s="20"/>
      <c r="D34" s="28">
        <v>50000</v>
      </c>
      <c r="E34" s="20" t="s">
        <v>30</v>
      </c>
      <c r="F34" s="6">
        <f>D34</f>
        <v>50000</v>
      </c>
      <c r="I34" s="42">
        <f>40000-I36</f>
        <v>26064</v>
      </c>
    </row>
    <row r="35" spans="2:9" ht="29" x14ac:dyDescent="0.35">
      <c r="B35" s="11" t="s">
        <v>31</v>
      </c>
      <c r="C35" s="20"/>
      <c r="D35" s="28">
        <f>187000</f>
        <v>187000</v>
      </c>
      <c r="E35" s="20" t="s">
        <v>32</v>
      </c>
      <c r="F35" s="6">
        <f>D35</f>
        <v>187000</v>
      </c>
      <c r="H35">
        <v>10000</v>
      </c>
      <c r="I35" s="10">
        <f>F35+10000</f>
        <v>197000</v>
      </c>
    </row>
    <row r="36" spans="2:9" x14ac:dyDescent="0.35">
      <c r="B36" s="11" t="s">
        <v>33</v>
      </c>
      <c r="C36" s="30">
        <v>5</v>
      </c>
      <c r="D36" s="28">
        <v>15000</v>
      </c>
      <c r="E36" s="20" t="s">
        <v>32</v>
      </c>
      <c r="F36" s="6">
        <f>D36</f>
        <v>15000</v>
      </c>
      <c r="I36" s="42">
        <f>8170.71+2593.86+3171.43</f>
        <v>13936</v>
      </c>
    </row>
    <row r="37" spans="2:9" ht="29" x14ac:dyDescent="0.35">
      <c r="B37" s="11" t="s">
        <v>34</v>
      </c>
      <c r="C37" s="30"/>
      <c r="D37" s="28">
        <f>65880+5000</f>
        <v>70880</v>
      </c>
      <c r="E37" s="20" t="s">
        <v>32</v>
      </c>
      <c r="F37" s="6">
        <f>D37</f>
        <v>70880</v>
      </c>
      <c r="G37" t="s">
        <v>35</v>
      </c>
      <c r="I37" s="42">
        <f>64800+2000</f>
        <v>66800</v>
      </c>
    </row>
    <row r="38" spans="2:9" x14ac:dyDescent="0.35">
      <c r="B38" s="20" t="s">
        <v>36</v>
      </c>
      <c r="C38" s="20"/>
      <c r="D38" s="20"/>
      <c r="E38" s="20"/>
      <c r="F38" s="6">
        <f>F39</f>
        <v>220000</v>
      </c>
    </row>
    <row r="39" spans="2:9" ht="13.5" customHeight="1" x14ac:dyDescent="0.35">
      <c r="B39" s="31" t="s">
        <v>37</v>
      </c>
      <c r="C39" s="29">
        <v>3</v>
      </c>
      <c r="D39" s="7">
        <v>220000</v>
      </c>
      <c r="E39" s="20"/>
      <c r="F39" s="6">
        <f>D39</f>
        <v>220000</v>
      </c>
      <c r="G39" s="9" t="s">
        <v>38</v>
      </c>
    </row>
    <row r="40" spans="2:9" x14ac:dyDescent="0.35">
      <c r="B40" s="20" t="s">
        <v>39</v>
      </c>
      <c r="C40" s="20"/>
      <c r="D40" s="20"/>
      <c r="E40" s="20"/>
      <c r="F40" s="6">
        <f>C8*C6</f>
        <v>60000</v>
      </c>
    </row>
    <row r="42" spans="2:9" x14ac:dyDescent="0.35">
      <c r="F42" s="1"/>
    </row>
    <row r="50" spans="3:4" x14ac:dyDescent="0.35">
      <c r="C50" t="s">
        <v>40</v>
      </c>
      <c r="D50">
        <v>81100</v>
      </c>
    </row>
    <row r="51" spans="3:4" x14ac:dyDescent="0.35">
      <c r="C51" t="s">
        <v>41</v>
      </c>
      <c r="D51">
        <v>280000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51"/>
  <sheetViews>
    <sheetView topLeftCell="A21" workbookViewId="0"/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</cols>
  <sheetData>
    <row r="2" spans="2:6" x14ac:dyDescent="0.35">
      <c r="B2" t="s">
        <v>0</v>
      </c>
      <c r="C2" s="2">
        <v>2500</v>
      </c>
    </row>
    <row r="3" spans="2:6" x14ac:dyDescent="0.35">
      <c r="B3" t="s">
        <v>1</v>
      </c>
      <c r="C3" s="39">
        <v>5000</v>
      </c>
    </row>
    <row r="4" spans="2:6" x14ac:dyDescent="0.35">
      <c r="B4" t="s">
        <v>2</v>
      </c>
      <c r="C4" s="3">
        <v>0.23</v>
      </c>
      <c r="D4" s="8"/>
      <c r="E4" s="8"/>
    </row>
    <row r="5" spans="2:6" x14ac:dyDescent="0.35">
      <c r="B5" t="s">
        <v>3</v>
      </c>
      <c r="C5" s="3">
        <v>0.46</v>
      </c>
      <c r="D5" s="8"/>
      <c r="E5" s="8"/>
    </row>
    <row r="6" spans="2:6" x14ac:dyDescent="0.35">
      <c r="B6" t="s">
        <v>4</v>
      </c>
      <c r="C6">
        <v>3</v>
      </c>
    </row>
    <row r="7" spans="2:6" x14ac:dyDescent="0.35">
      <c r="B7" t="s">
        <v>5</v>
      </c>
      <c r="C7">
        <v>6</v>
      </c>
    </row>
    <row r="8" spans="2:6" x14ac:dyDescent="0.35">
      <c r="B8" t="s">
        <v>6</v>
      </c>
      <c r="C8" s="2">
        <v>20000</v>
      </c>
      <c r="D8" s="2"/>
      <c r="E8" s="2"/>
    </row>
    <row r="10" spans="2:6" x14ac:dyDescent="0.35">
      <c r="F10" s="4"/>
    </row>
    <row r="11" spans="2:6" ht="15.5" x14ac:dyDescent="0.35">
      <c r="B11" s="12" t="s">
        <v>7</v>
      </c>
      <c r="C11" s="13"/>
      <c r="D11" s="13"/>
      <c r="E11" s="13"/>
      <c r="F11" s="32">
        <f>F14-F19</f>
        <v>7362794.3031914895</v>
      </c>
    </row>
    <row r="12" spans="2:6" x14ac:dyDescent="0.35">
      <c r="B12" s="14"/>
      <c r="C12" s="14"/>
      <c r="D12" s="14"/>
      <c r="E12" s="14"/>
      <c r="F12" s="15"/>
    </row>
    <row r="13" spans="2:6" ht="15.5" x14ac:dyDescent="0.35">
      <c r="B13" s="16" t="s">
        <v>8</v>
      </c>
      <c r="C13" s="17"/>
      <c r="D13" s="17"/>
      <c r="E13" s="17"/>
      <c r="F13" s="33">
        <f>F14</f>
        <v>12500000</v>
      </c>
    </row>
    <row r="14" spans="2:6" x14ac:dyDescent="0.35">
      <c r="B14" s="18" t="s">
        <v>9</v>
      </c>
      <c r="C14" s="18"/>
      <c r="D14" s="18"/>
      <c r="E14" s="18"/>
      <c r="F14" s="19">
        <f>SUM(F15:F17)</f>
        <v>12500000</v>
      </c>
    </row>
    <row r="15" spans="2:6" x14ac:dyDescent="0.35">
      <c r="B15" s="20" t="s">
        <v>10</v>
      </c>
      <c r="C15" s="20"/>
      <c r="D15" s="20"/>
      <c r="E15" s="20"/>
      <c r="F15" s="7">
        <f>C2*C3</f>
        <v>12500000</v>
      </c>
    </row>
    <row r="16" spans="2:6" x14ac:dyDescent="0.35">
      <c r="B16" s="21"/>
      <c r="C16" s="21"/>
      <c r="D16" s="21"/>
      <c r="E16" s="21"/>
      <c r="F16" s="20"/>
    </row>
    <row r="17" spans="2:6" x14ac:dyDescent="0.35">
      <c r="B17" s="21"/>
      <c r="C17" s="21"/>
      <c r="D17" s="21"/>
      <c r="E17" s="21"/>
      <c r="F17" s="21"/>
    </row>
    <row r="18" spans="2:6" ht="15.5" x14ac:dyDescent="0.35">
      <c r="B18" s="22" t="s">
        <v>11</v>
      </c>
      <c r="C18" s="23"/>
      <c r="D18" s="23"/>
      <c r="E18" s="23"/>
      <c r="F18" s="34">
        <f>F19</f>
        <v>5137205.6968085105</v>
      </c>
    </row>
    <row r="19" spans="2:6" x14ac:dyDescent="0.35">
      <c r="B19" s="24" t="s">
        <v>12</v>
      </c>
      <c r="C19" s="24"/>
      <c r="D19" s="24"/>
      <c r="E19" s="24"/>
      <c r="F19" s="25">
        <f>F20+F21+F22+F23+F24+F38+F40+F29+F34+F35+F36+F37</f>
        <v>5137205.6968085105</v>
      </c>
    </row>
    <row r="20" spans="2:6" x14ac:dyDescent="0.35">
      <c r="B20" s="26" t="s">
        <v>42</v>
      </c>
      <c r="C20" s="27"/>
      <c r="D20" s="27"/>
      <c r="E20" s="27"/>
      <c r="F20" s="45">
        <f>168624.84+158911.41</f>
        <v>327536.25</v>
      </c>
    </row>
    <row r="21" spans="2:6" x14ac:dyDescent="0.35">
      <c r="B21" s="26" t="s">
        <v>14</v>
      </c>
      <c r="C21" s="27"/>
      <c r="D21" s="27"/>
      <c r="E21" s="27"/>
      <c r="F21" s="5">
        <v>30000</v>
      </c>
    </row>
    <row r="22" spans="2:6" x14ac:dyDescent="0.35">
      <c r="B22" s="26" t="s">
        <v>15</v>
      </c>
      <c r="C22" s="27"/>
      <c r="D22" s="28">
        <f>6200+500+2500</f>
        <v>9200</v>
      </c>
      <c r="E22" s="27"/>
      <c r="F22" s="5">
        <f>D22</f>
        <v>9200</v>
      </c>
    </row>
    <row r="23" spans="2:6" x14ac:dyDescent="0.35">
      <c r="B23" s="20" t="s">
        <v>10</v>
      </c>
      <c r="C23" s="20"/>
      <c r="D23" s="20"/>
      <c r="E23" s="20"/>
      <c r="F23" s="6">
        <f>C2*C3*C4</f>
        <v>2875000</v>
      </c>
    </row>
    <row r="24" spans="2:6" x14ac:dyDescent="0.35">
      <c r="B24" s="20" t="s">
        <v>16</v>
      </c>
      <c r="C24" s="20"/>
      <c r="D24" s="20"/>
      <c r="E24" s="20"/>
      <c r="F24" s="6">
        <f>SUM(F25:F28)</f>
        <v>1081860</v>
      </c>
    </row>
    <row r="25" spans="2:6" x14ac:dyDescent="0.35">
      <c r="B25" s="20" t="s">
        <v>17</v>
      </c>
      <c r="C25" s="29">
        <v>12</v>
      </c>
      <c r="D25" s="28">
        <v>6500</v>
      </c>
      <c r="E25" s="20" t="s">
        <v>18</v>
      </c>
      <c r="F25" s="7">
        <f>(D25*C25)*1.46*C6</f>
        <v>341640</v>
      </c>
    </row>
    <row r="26" spans="2:6" x14ac:dyDescent="0.35">
      <c r="B26" s="20" t="s">
        <v>19</v>
      </c>
      <c r="C26" s="29">
        <v>6</v>
      </c>
      <c r="D26" s="28">
        <v>4000</v>
      </c>
      <c r="E26" s="20" t="s">
        <v>18</v>
      </c>
      <c r="F26" s="7">
        <f>(D26*C26)*1.46*C6</f>
        <v>105120</v>
      </c>
    </row>
    <row r="27" spans="2:6" x14ac:dyDescent="0.35">
      <c r="B27" s="20" t="s">
        <v>20</v>
      </c>
      <c r="C27" s="29">
        <v>25</v>
      </c>
      <c r="D27" s="28">
        <v>4000</v>
      </c>
      <c r="E27" s="20" t="s">
        <v>18</v>
      </c>
      <c r="F27" s="7">
        <f>(D27*C27)*1.46*C6</f>
        <v>438000</v>
      </c>
    </row>
    <row r="28" spans="2:6" x14ac:dyDescent="0.35">
      <c r="B28" s="20" t="s">
        <v>21</v>
      </c>
      <c r="C28" s="29">
        <v>10</v>
      </c>
      <c r="D28" s="28">
        <v>4500</v>
      </c>
      <c r="E28" s="20" t="s">
        <v>18</v>
      </c>
      <c r="F28" s="7">
        <f>(D28*C28)*1.46*C6</f>
        <v>197100</v>
      </c>
    </row>
    <row r="29" spans="2:6" x14ac:dyDescent="0.35">
      <c r="B29" s="20" t="s">
        <v>22</v>
      </c>
      <c r="C29" s="29"/>
      <c r="D29" s="28"/>
      <c r="E29" s="28"/>
      <c r="F29" s="6">
        <f>SUM(F30:F33)</f>
        <v>229809.44680851066</v>
      </c>
    </row>
    <row r="30" spans="2:6" x14ac:dyDescent="0.35">
      <c r="B30" s="20" t="s">
        <v>23</v>
      </c>
      <c r="C30" s="29">
        <v>1</v>
      </c>
      <c r="D30" s="28">
        <v>4000</v>
      </c>
      <c r="E30" s="20" t="s">
        <v>24</v>
      </c>
      <c r="F30" s="43">
        <v>55315</v>
      </c>
    </row>
    <row r="31" spans="2:6" x14ac:dyDescent="0.35">
      <c r="B31" s="20" t="s">
        <v>25</v>
      </c>
      <c r="C31" s="30">
        <v>4</v>
      </c>
      <c r="D31" s="28">
        <f>158537/(C31*5*$C$6+C33*6)</f>
        <v>1887.3452380952381</v>
      </c>
      <c r="E31" s="20" t="s">
        <v>24</v>
      </c>
      <c r="F31" s="7">
        <f>ROUND(D31*C31*5*$C$6,2)</f>
        <v>113240.71</v>
      </c>
    </row>
    <row r="32" spans="2:6" x14ac:dyDescent="0.35">
      <c r="B32" s="20" t="s">
        <v>43</v>
      </c>
      <c r="C32" s="30">
        <v>1</v>
      </c>
      <c r="D32" s="28">
        <v>5000</v>
      </c>
      <c r="E32" s="20" t="s">
        <v>24</v>
      </c>
      <c r="F32" s="64">
        <f>((D32*C32)*3)/0.94</f>
        <v>15957.44680851064</v>
      </c>
    </row>
    <row r="33" spans="2:6" x14ac:dyDescent="0.35">
      <c r="B33" s="20" t="s">
        <v>28</v>
      </c>
      <c r="C33" s="30">
        <v>4</v>
      </c>
      <c r="D33" s="28">
        <f>D31</f>
        <v>1887.3452380952381</v>
      </c>
      <c r="E33" s="20" t="s">
        <v>24</v>
      </c>
      <c r="F33" s="7">
        <f>ROUND(D33*C33*6,2)</f>
        <v>45296.29</v>
      </c>
    </row>
    <row r="34" spans="2:6" x14ac:dyDescent="0.35">
      <c r="B34" s="20" t="s">
        <v>29</v>
      </c>
      <c r="C34" s="20"/>
      <c r="D34" s="28">
        <v>26064</v>
      </c>
      <c r="E34" s="20" t="s">
        <v>30</v>
      </c>
      <c r="F34" s="44">
        <f>D34</f>
        <v>26064</v>
      </c>
    </row>
    <row r="35" spans="2:6" ht="29" x14ac:dyDescent="0.35">
      <c r="B35" s="11" t="s">
        <v>31</v>
      </c>
      <c r="C35" s="20"/>
      <c r="D35" s="28">
        <f>197000</f>
        <v>197000</v>
      </c>
      <c r="E35" s="20" t="s">
        <v>32</v>
      </c>
      <c r="F35" s="44">
        <f>D35</f>
        <v>197000</v>
      </c>
    </row>
    <row r="36" spans="2:6" x14ac:dyDescent="0.35">
      <c r="B36" s="11" t="s">
        <v>33</v>
      </c>
      <c r="C36" s="30">
        <v>5</v>
      </c>
      <c r="D36" s="28">
        <f>8170.71+2593.86+3171.43</f>
        <v>13936</v>
      </c>
      <c r="E36" s="20" t="s">
        <v>32</v>
      </c>
      <c r="F36" s="44">
        <f>D36</f>
        <v>13936</v>
      </c>
    </row>
    <row r="37" spans="2:6" ht="29" x14ac:dyDescent="0.35">
      <c r="B37" s="11" t="s">
        <v>34</v>
      </c>
      <c r="C37" s="30"/>
      <c r="D37" s="28">
        <f>64800+2000</f>
        <v>66800</v>
      </c>
      <c r="E37" s="20" t="s">
        <v>32</v>
      </c>
      <c r="F37" s="44">
        <f>D37</f>
        <v>66800</v>
      </c>
    </row>
    <row r="38" spans="2:6" x14ac:dyDescent="0.35">
      <c r="B38" s="20" t="s">
        <v>36</v>
      </c>
      <c r="C38" s="20"/>
      <c r="D38" s="20"/>
      <c r="E38" s="20"/>
      <c r="F38" s="6">
        <f>F39</f>
        <v>220000</v>
      </c>
    </row>
    <row r="39" spans="2:6" ht="7.15" customHeight="1" x14ac:dyDescent="0.35">
      <c r="B39" s="31" t="s">
        <v>37</v>
      </c>
      <c r="C39" s="29">
        <v>3</v>
      </c>
      <c r="D39" s="7">
        <v>220000</v>
      </c>
      <c r="E39" s="20"/>
      <c r="F39" s="6">
        <f>D39</f>
        <v>220000</v>
      </c>
    </row>
    <row r="40" spans="2:6" x14ac:dyDescent="0.35">
      <c r="B40" s="20" t="s">
        <v>39</v>
      </c>
      <c r="C40" s="20"/>
      <c r="D40" s="20"/>
      <c r="E40" s="20"/>
      <c r="F40" s="6">
        <f>C8*C6</f>
        <v>60000</v>
      </c>
    </row>
    <row r="42" spans="2:6" x14ac:dyDescent="0.35">
      <c r="F42" s="1"/>
    </row>
    <row r="50" spans="3:4" x14ac:dyDescent="0.35">
      <c r="C50" t="s">
        <v>40</v>
      </c>
      <c r="D50">
        <v>81100</v>
      </c>
    </row>
    <row r="51" spans="3:4" x14ac:dyDescent="0.35">
      <c r="C51" t="s">
        <v>41</v>
      </c>
      <c r="D51">
        <v>280000</v>
      </c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51"/>
  <sheetViews>
    <sheetView workbookViewId="0"/>
  </sheetViews>
  <sheetFormatPr defaultRowHeight="14.5" x14ac:dyDescent="0.35"/>
  <cols>
    <col min="1" max="1" width="42.54296875" customWidth="1"/>
    <col min="2" max="2" width="15.7265625" customWidth="1"/>
    <col min="3" max="3" width="16.7265625" customWidth="1"/>
    <col min="4" max="4" width="12.26953125" customWidth="1"/>
    <col min="5" max="5" width="18.54296875" customWidth="1"/>
    <col min="6" max="6" width="21" customWidth="1"/>
    <col min="7" max="7" width="24" customWidth="1"/>
  </cols>
  <sheetData>
    <row r="2" spans="1:7" x14ac:dyDescent="0.35">
      <c r="A2" t="s">
        <v>0</v>
      </c>
      <c r="B2" s="2">
        <v>2500</v>
      </c>
      <c r="F2" s="62">
        <f>Факт!C2</f>
        <v>2500</v>
      </c>
    </row>
    <row r="3" spans="1:7" x14ac:dyDescent="0.35">
      <c r="A3" t="s">
        <v>1</v>
      </c>
      <c r="B3">
        <v>5000</v>
      </c>
      <c r="F3" s="63">
        <f>Факт!C3</f>
        <v>5000</v>
      </c>
    </row>
    <row r="4" spans="1:7" x14ac:dyDescent="0.35">
      <c r="A4" t="s">
        <v>2</v>
      </c>
      <c r="B4" s="3">
        <v>0.23</v>
      </c>
      <c r="C4" s="8"/>
      <c r="D4" s="8"/>
      <c r="F4" s="61">
        <f>Факт!C4</f>
        <v>0.23</v>
      </c>
    </row>
    <row r="5" spans="1:7" x14ac:dyDescent="0.35">
      <c r="A5" t="s">
        <v>3</v>
      </c>
      <c r="B5" s="3">
        <v>0.46</v>
      </c>
      <c r="C5" s="8"/>
      <c r="D5" s="8"/>
      <c r="F5" s="61">
        <f>Факт!C5</f>
        <v>0.46</v>
      </c>
    </row>
    <row r="6" spans="1:7" x14ac:dyDescent="0.35">
      <c r="A6" t="s">
        <v>4</v>
      </c>
      <c r="B6">
        <v>3</v>
      </c>
      <c r="F6" s="63">
        <f>Факт!C6</f>
        <v>3</v>
      </c>
    </row>
    <row r="7" spans="1:7" x14ac:dyDescent="0.35">
      <c r="A7" t="s">
        <v>5</v>
      </c>
      <c r="B7">
        <v>6</v>
      </c>
      <c r="F7" s="63">
        <f>Факт!C7</f>
        <v>6</v>
      </c>
    </row>
    <row r="8" spans="1:7" x14ac:dyDescent="0.35">
      <c r="A8" t="s">
        <v>6</v>
      </c>
      <c r="B8" s="2">
        <v>20000</v>
      </c>
      <c r="C8" s="2"/>
      <c r="D8" s="2"/>
      <c r="F8" s="63">
        <f>Факт!C8</f>
        <v>20000</v>
      </c>
    </row>
    <row r="10" spans="1:7" ht="14.25" customHeight="1" x14ac:dyDescent="0.35">
      <c r="E10" s="4" t="s">
        <v>44</v>
      </c>
      <c r="F10" s="4" t="s">
        <v>45</v>
      </c>
      <c r="G10" s="46" t="s">
        <v>46</v>
      </c>
    </row>
    <row r="11" spans="1:7" ht="15.5" x14ac:dyDescent="0.35">
      <c r="A11" s="12" t="s">
        <v>7</v>
      </c>
      <c r="B11" s="13"/>
      <c r="C11" s="13"/>
      <c r="D11" s="13"/>
      <c r="E11" s="32">
        <f>E14-E19</f>
        <v>7256379.1489361702</v>
      </c>
      <c r="F11" s="47">
        <f>Факт!F11</f>
        <v>7362794.3031914895</v>
      </c>
      <c r="G11" s="47">
        <f>F11-E11</f>
        <v>106415.15425531939</v>
      </c>
    </row>
    <row r="12" spans="1:7" x14ac:dyDescent="0.35">
      <c r="A12" s="14"/>
      <c r="B12" s="14"/>
      <c r="C12" s="14"/>
      <c r="D12" s="14"/>
      <c r="E12" s="15"/>
      <c r="F12" s="48"/>
      <c r="G12" s="48"/>
    </row>
    <row r="13" spans="1:7" ht="15.5" x14ac:dyDescent="0.35">
      <c r="A13" s="16" t="s">
        <v>8</v>
      </c>
      <c r="B13" s="17"/>
      <c r="C13" s="17"/>
      <c r="D13" s="17"/>
      <c r="E13" s="33">
        <f>E14</f>
        <v>12500000</v>
      </c>
      <c r="F13" s="49">
        <f>Факт!F13</f>
        <v>12500000</v>
      </c>
      <c r="G13" s="49">
        <f>F13-E13</f>
        <v>0</v>
      </c>
    </row>
    <row r="14" spans="1:7" x14ac:dyDescent="0.35">
      <c r="A14" s="18" t="s">
        <v>9</v>
      </c>
      <c r="B14" s="18"/>
      <c r="C14" s="18"/>
      <c r="D14" s="18"/>
      <c r="E14" s="19">
        <f>SUM(E15:E17)</f>
        <v>12500000</v>
      </c>
      <c r="F14" s="50">
        <f>Факт!F14</f>
        <v>12500000</v>
      </c>
      <c r="G14" s="50">
        <f>F14-E14</f>
        <v>0</v>
      </c>
    </row>
    <row r="15" spans="1:7" x14ac:dyDescent="0.35">
      <c r="A15" s="20" t="s">
        <v>10</v>
      </c>
      <c r="B15" s="20"/>
      <c r="C15" s="20"/>
      <c r="D15" s="20"/>
      <c r="E15" s="7">
        <f>B2*B3</f>
        <v>12500000</v>
      </c>
      <c r="F15" s="51">
        <f>Факт!F15</f>
        <v>12500000</v>
      </c>
      <c r="G15" s="51">
        <f>F15-E15</f>
        <v>0</v>
      </c>
    </row>
    <row r="16" spans="1:7" x14ac:dyDescent="0.35">
      <c r="A16" s="21"/>
      <c r="B16" s="21"/>
      <c r="C16" s="21"/>
      <c r="D16" s="21"/>
      <c r="E16" s="20"/>
      <c r="F16" s="51"/>
      <c r="G16" s="51"/>
    </row>
    <row r="17" spans="1:7" x14ac:dyDescent="0.35">
      <c r="A17" s="21"/>
      <c r="B17" s="21"/>
      <c r="C17" s="21"/>
      <c r="D17" s="21"/>
      <c r="E17" s="21"/>
      <c r="F17" s="52"/>
      <c r="G17" s="52"/>
    </row>
    <row r="18" spans="1:7" ht="15.5" x14ac:dyDescent="0.35">
      <c r="A18" s="22" t="s">
        <v>11</v>
      </c>
      <c r="B18" s="23"/>
      <c r="C18" s="23"/>
      <c r="D18" s="23"/>
      <c r="E18" s="34">
        <f>E19</f>
        <v>5243620.8510638298</v>
      </c>
      <c r="F18" s="53">
        <f>Факт!F18</f>
        <v>5137205.6968085105</v>
      </c>
      <c r="G18" s="53">
        <f t="shared" ref="G18:G40" si="0">F18-E18</f>
        <v>-106415.15425531939</v>
      </c>
    </row>
    <row r="19" spans="1:7" x14ac:dyDescent="0.35">
      <c r="A19" s="24" t="s">
        <v>12</v>
      </c>
      <c r="B19" s="24"/>
      <c r="C19" s="24"/>
      <c r="D19" s="24"/>
      <c r="E19" s="25">
        <f>E20+E21+E22+E23+E24+E38+E40+E29+E34+E35+E36+E37</f>
        <v>5243620.8510638298</v>
      </c>
      <c r="F19" s="54">
        <f>Факт!F19</f>
        <v>5137205.6968085105</v>
      </c>
      <c r="G19" s="54">
        <f t="shared" si="0"/>
        <v>-106415.15425531939</v>
      </c>
    </row>
    <row r="20" spans="1:7" x14ac:dyDescent="0.35">
      <c r="A20" s="26" t="s">
        <v>13</v>
      </c>
      <c r="B20" s="27"/>
      <c r="C20" s="27"/>
      <c r="D20" s="27"/>
      <c r="E20" s="5">
        <v>400000</v>
      </c>
      <c r="F20" s="55">
        <f>Факт!F20</f>
        <v>327536.25</v>
      </c>
      <c r="G20" s="55">
        <f t="shared" si="0"/>
        <v>-72463.75</v>
      </c>
    </row>
    <row r="21" spans="1:7" x14ac:dyDescent="0.35">
      <c r="A21" s="26" t="s">
        <v>14</v>
      </c>
      <c r="B21" s="27"/>
      <c r="C21" s="27"/>
      <c r="D21" s="27"/>
      <c r="E21" s="5">
        <v>30000</v>
      </c>
      <c r="F21" s="56">
        <f>Факт!F21</f>
        <v>30000</v>
      </c>
      <c r="G21" s="56">
        <f t="shared" si="0"/>
        <v>0</v>
      </c>
    </row>
    <row r="22" spans="1:7" x14ac:dyDescent="0.35">
      <c r="A22" s="26" t="s">
        <v>15</v>
      </c>
      <c r="B22" s="27"/>
      <c r="C22" s="28">
        <f>6200+500+2500</f>
        <v>9200</v>
      </c>
      <c r="D22" s="27"/>
      <c r="E22" s="5">
        <f>C22</f>
        <v>9200</v>
      </c>
      <c r="F22" s="56">
        <f>Факт!F22</f>
        <v>9200</v>
      </c>
      <c r="G22" s="56">
        <f t="shared" si="0"/>
        <v>0</v>
      </c>
    </row>
    <row r="23" spans="1:7" x14ac:dyDescent="0.35">
      <c r="A23" s="20" t="s">
        <v>10</v>
      </c>
      <c r="B23" s="20"/>
      <c r="C23" s="20"/>
      <c r="D23" s="20"/>
      <c r="E23" s="6">
        <f>B2*B3*B4</f>
        <v>2875000</v>
      </c>
      <c r="F23" s="57">
        <f>Факт!F23</f>
        <v>2875000</v>
      </c>
      <c r="G23" s="57">
        <f t="shared" si="0"/>
        <v>0</v>
      </c>
    </row>
    <row r="24" spans="1:7" x14ac:dyDescent="0.35">
      <c r="A24" s="20" t="s">
        <v>16</v>
      </c>
      <c r="B24" s="20"/>
      <c r="C24" s="20"/>
      <c r="D24" s="20"/>
      <c r="E24" s="6">
        <f>SUM(E25:E28)</f>
        <v>1081860</v>
      </c>
      <c r="F24" s="57">
        <f>Факт!F24</f>
        <v>1081860</v>
      </c>
      <c r="G24" s="57">
        <f t="shared" si="0"/>
        <v>0</v>
      </c>
    </row>
    <row r="25" spans="1:7" x14ac:dyDescent="0.35">
      <c r="A25" s="20" t="s">
        <v>17</v>
      </c>
      <c r="B25" s="29">
        <v>12</v>
      </c>
      <c r="C25" s="28">
        <v>6500</v>
      </c>
      <c r="D25" s="20" t="s">
        <v>18</v>
      </c>
      <c r="E25" s="7">
        <f>(C25*B25)*1.46*B6</f>
        <v>341640</v>
      </c>
      <c r="F25" s="51">
        <f>Факт!F25</f>
        <v>341640</v>
      </c>
      <c r="G25" s="51">
        <f t="shared" si="0"/>
        <v>0</v>
      </c>
    </row>
    <row r="26" spans="1:7" x14ac:dyDescent="0.35">
      <c r="A26" s="20" t="s">
        <v>19</v>
      </c>
      <c r="B26" s="29">
        <v>6</v>
      </c>
      <c r="C26" s="28">
        <v>4000</v>
      </c>
      <c r="D26" s="20" t="s">
        <v>18</v>
      </c>
      <c r="E26" s="7">
        <f>(C26*B26)*1.46*B6</f>
        <v>105120</v>
      </c>
      <c r="F26" s="51">
        <f>Факт!F26</f>
        <v>105120</v>
      </c>
      <c r="G26" s="51">
        <f t="shared" si="0"/>
        <v>0</v>
      </c>
    </row>
    <row r="27" spans="1:7" x14ac:dyDescent="0.35">
      <c r="A27" s="20" t="s">
        <v>20</v>
      </c>
      <c r="B27" s="29">
        <v>25</v>
      </c>
      <c r="C27" s="28">
        <v>4000</v>
      </c>
      <c r="D27" s="20" t="s">
        <v>18</v>
      </c>
      <c r="E27" s="7">
        <f>(C27*B27)*1.46*B6</f>
        <v>438000</v>
      </c>
      <c r="F27" s="51">
        <f>Факт!F27</f>
        <v>438000</v>
      </c>
      <c r="G27" s="51">
        <f t="shared" si="0"/>
        <v>0</v>
      </c>
    </row>
    <row r="28" spans="1:7" x14ac:dyDescent="0.35">
      <c r="A28" s="20" t="s">
        <v>21</v>
      </c>
      <c r="B28" s="29">
        <v>10</v>
      </c>
      <c r="C28" s="28">
        <v>4500</v>
      </c>
      <c r="D28" s="20" t="s">
        <v>18</v>
      </c>
      <c r="E28" s="7">
        <f>(C28*B28)*1.46*B6</f>
        <v>197100</v>
      </c>
      <c r="F28" s="51">
        <f>Факт!F28</f>
        <v>197100</v>
      </c>
      <c r="G28" s="51">
        <f t="shared" si="0"/>
        <v>0</v>
      </c>
    </row>
    <row r="29" spans="1:7" x14ac:dyDescent="0.35">
      <c r="A29" s="20" t="s">
        <v>22</v>
      </c>
      <c r="B29" s="29"/>
      <c r="C29" s="28"/>
      <c r="D29" s="28"/>
      <c r="E29" s="6">
        <f>SUM(E30:E33)</f>
        <v>244680.85106382982</v>
      </c>
      <c r="F29" s="57">
        <f>Факт!F29</f>
        <v>229809.44680851066</v>
      </c>
      <c r="G29" s="57">
        <f t="shared" si="0"/>
        <v>-14871.404255319154</v>
      </c>
    </row>
    <row r="30" spans="1:7" x14ac:dyDescent="0.35">
      <c r="A30" s="20" t="s">
        <v>23</v>
      </c>
      <c r="B30" s="29">
        <v>1</v>
      </c>
      <c r="C30" s="28">
        <v>4000</v>
      </c>
      <c r="D30" s="20" t="s">
        <v>24</v>
      </c>
      <c r="E30" s="7">
        <f>(C30*B30*13)/0.94</f>
        <v>55319.148936170219</v>
      </c>
      <c r="F30" s="58">
        <f>Факт!F30</f>
        <v>55315</v>
      </c>
      <c r="G30" s="58">
        <f t="shared" si="0"/>
        <v>-4.1489361702188035</v>
      </c>
    </row>
    <row r="31" spans="1:7" x14ac:dyDescent="0.35">
      <c r="A31" s="20" t="s">
        <v>25</v>
      </c>
      <c r="B31" s="30">
        <v>4</v>
      </c>
      <c r="C31" s="28">
        <v>2000</v>
      </c>
      <c r="D31" s="20" t="s">
        <v>24</v>
      </c>
      <c r="E31" s="7">
        <f>(C31*B31*5*B6)/0.94</f>
        <v>127659.57446808512</v>
      </c>
      <c r="F31" s="51">
        <f>Факт!F31</f>
        <v>113240.71</v>
      </c>
      <c r="G31" s="51">
        <f t="shared" si="0"/>
        <v>-14418.864468085114</v>
      </c>
    </row>
    <row r="32" spans="1:7" s="39" customFormat="1" x14ac:dyDescent="0.35">
      <c r="A32" s="35" t="s">
        <v>27</v>
      </c>
      <c r="B32" s="36">
        <v>1</v>
      </c>
      <c r="C32" s="37">
        <v>5000</v>
      </c>
      <c r="D32" s="35" t="s">
        <v>24</v>
      </c>
      <c r="E32" s="38">
        <f>((C32*B32)*2)/0.94</f>
        <v>10638.297872340427</v>
      </c>
      <c r="F32" s="59">
        <f>Факт!F32</f>
        <v>15957.44680851064</v>
      </c>
      <c r="G32" s="59">
        <f t="shared" si="0"/>
        <v>5319.1489361702133</v>
      </c>
    </row>
    <row r="33" spans="1:7" x14ac:dyDescent="0.35">
      <c r="A33" s="20" t="s">
        <v>28</v>
      </c>
      <c r="B33" s="30">
        <v>4</v>
      </c>
      <c r="C33" s="28">
        <v>2000</v>
      </c>
      <c r="D33" s="20" t="s">
        <v>24</v>
      </c>
      <c r="E33" s="7">
        <f>((B33*C33)*6)/0.94</f>
        <v>51063.829787234048</v>
      </c>
      <c r="F33" s="51">
        <f>Факт!F33</f>
        <v>45296.29</v>
      </c>
      <c r="G33" s="51">
        <f t="shared" si="0"/>
        <v>-5767.5397872340473</v>
      </c>
    </row>
    <row r="34" spans="1:7" x14ac:dyDescent="0.35">
      <c r="A34" s="20" t="s">
        <v>29</v>
      </c>
      <c r="B34" s="20"/>
      <c r="C34" s="28">
        <v>50000</v>
      </c>
      <c r="D34" s="20" t="s">
        <v>30</v>
      </c>
      <c r="E34" s="6">
        <f>C34</f>
        <v>50000</v>
      </c>
      <c r="F34" s="60">
        <f>Факт!F34</f>
        <v>26064</v>
      </c>
      <c r="G34" s="60">
        <f t="shared" si="0"/>
        <v>-23936</v>
      </c>
    </row>
    <row r="35" spans="1:7" ht="29" x14ac:dyDescent="0.35">
      <c r="A35" s="11" t="s">
        <v>31</v>
      </c>
      <c r="B35" s="20"/>
      <c r="C35" s="28">
        <f>187000</f>
        <v>187000</v>
      </c>
      <c r="D35" s="20" t="s">
        <v>32</v>
      </c>
      <c r="E35" s="6">
        <f>C35</f>
        <v>187000</v>
      </c>
      <c r="F35" s="60">
        <f>Факт!F35</f>
        <v>197000</v>
      </c>
      <c r="G35" s="60">
        <f t="shared" si="0"/>
        <v>10000</v>
      </c>
    </row>
    <row r="36" spans="1:7" x14ac:dyDescent="0.35">
      <c r="A36" s="11" t="s">
        <v>33</v>
      </c>
      <c r="B36" s="30">
        <v>5</v>
      </c>
      <c r="C36" s="28">
        <v>15000</v>
      </c>
      <c r="D36" s="20" t="s">
        <v>32</v>
      </c>
      <c r="E36" s="6">
        <f>C36</f>
        <v>15000</v>
      </c>
      <c r="F36" s="60">
        <f>Факт!F36</f>
        <v>13936</v>
      </c>
      <c r="G36" s="60">
        <f t="shared" si="0"/>
        <v>-1064</v>
      </c>
    </row>
    <row r="37" spans="1:7" ht="29" x14ac:dyDescent="0.35">
      <c r="A37" s="11" t="s">
        <v>34</v>
      </c>
      <c r="B37" s="30"/>
      <c r="C37" s="28">
        <f>65880+5000</f>
        <v>70880</v>
      </c>
      <c r="D37" s="20" t="s">
        <v>32</v>
      </c>
      <c r="E37" s="6">
        <f>C37</f>
        <v>70880</v>
      </c>
      <c r="F37" s="60">
        <f>Факт!F37</f>
        <v>66800</v>
      </c>
      <c r="G37" s="60">
        <f t="shared" si="0"/>
        <v>-4080</v>
      </c>
    </row>
    <row r="38" spans="1:7" x14ac:dyDescent="0.35">
      <c r="A38" s="20" t="s">
        <v>36</v>
      </c>
      <c r="B38" s="20"/>
      <c r="C38" s="20"/>
      <c r="D38" s="20"/>
      <c r="E38" s="6">
        <f>E39</f>
        <v>220000</v>
      </c>
      <c r="F38" s="57">
        <f>Факт!F38</f>
        <v>220000</v>
      </c>
      <c r="G38" s="57">
        <f t="shared" si="0"/>
        <v>0</v>
      </c>
    </row>
    <row r="39" spans="1:7" ht="7.15" customHeight="1" x14ac:dyDescent="0.35">
      <c r="A39" s="31" t="s">
        <v>37</v>
      </c>
      <c r="B39" s="29">
        <v>3</v>
      </c>
      <c r="C39" s="7">
        <v>220000</v>
      </c>
      <c r="D39" s="20"/>
      <c r="E39" s="6">
        <f>C39</f>
        <v>220000</v>
      </c>
      <c r="F39" s="57">
        <f>Факт!F39</f>
        <v>220000</v>
      </c>
      <c r="G39" s="57">
        <f t="shared" si="0"/>
        <v>0</v>
      </c>
    </row>
    <row r="40" spans="1:7" x14ac:dyDescent="0.35">
      <c r="A40" s="20" t="s">
        <v>39</v>
      </c>
      <c r="B40" s="20"/>
      <c r="C40" s="20"/>
      <c r="D40" s="20"/>
      <c r="E40" s="6">
        <f>B8*B6</f>
        <v>60000</v>
      </c>
      <c r="F40" s="57">
        <f>Факт!F40</f>
        <v>60000</v>
      </c>
      <c r="G40" s="57">
        <f t="shared" si="0"/>
        <v>0</v>
      </c>
    </row>
    <row r="42" spans="1:7" x14ac:dyDescent="0.35">
      <c r="E42" s="1"/>
      <c r="F42" s="1"/>
    </row>
    <row r="50" spans="2:3" x14ac:dyDescent="0.35">
      <c r="B50" t="s">
        <v>40</v>
      </c>
      <c r="C50">
        <v>81100</v>
      </c>
    </row>
    <row r="51" spans="2:3" x14ac:dyDescent="0.35">
      <c r="B51" t="s">
        <v>41</v>
      </c>
      <c r="C51">
        <v>280000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Октоберфест</vt:lpstr>
      <vt:lpstr>Факт</vt:lpstr>
      <vt:lpstr>Свод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dcterms:modified xsi:type="dcterms:W3CDTF">2026-10-26T16:28:42Z</dcterms:modified>
</cp:coreProperties>
</file>