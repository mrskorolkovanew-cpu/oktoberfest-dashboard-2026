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D343EF1A-77EF-4541-A592-633788F8BD72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F37" i="1" s="1"/>
  <c r="F32" i="1"/>
  <c r="F29" i="1" s="1"/>
  <c r="D22" i="1"/>
  <c r="F22" i="1" s="1"/>
  <c r="F36" i="1"/>
  <c r="D35" i="1"/>
  <c r="F35" i="1" s="1"/>
  <c r="F15" i="1"/>
  <c r="F14" i="1" s="1"/>
  <c r="F40" i="1"/>
  <c r="F39" i="1"/>
  <c r="F38" i="1" s="1"/>
  <c r="F33" i="1"/>
  <c r="F31" i="1"/>
  <c r="F30" i="1"/>
  <c r="F28" i="1"/>
  <c r="F27" i="1"/>
  <c r="F26" i="1"/>
  <c r="F25" i="1"/>
  <c r="F24" i="1"/>
  <c r="F23" i="1"/>
  <c r="F19" i="1" l="1"/>
  <c r="F13" i="1"/>
  <c r="F18" i="1" l="1"/>
  <c r="F11" i="1"/>
</calcChain>
</file>

<file path=xl/sharedStrings.xml><?xml version="1.0" encoding="utf-8"?>
<sst xmlns="http://schemas.openxmlformats.org/spreadsheetml/2006/main" count="47" uniqueCount="38">
  <si>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</si>
  <si>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</si>
  <si>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</si>
  <si>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</si>
  <si>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</si>
  <si>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</si>
  <si>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</si>
  <si>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</si>
  <si>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</si>
  <si>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</si>
  <si>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</si>
  <si>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</si>
  <si>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</si>
  <si>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</si>
  <si>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</si>
  <si>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</si>
  <si>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</si>
  <si>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</si>
  <si>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</si>
  <si>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</si>
  <si>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</si>
  <si>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</si>
  <si>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</si>
  <si>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</si>
  <si>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</si>
  <si>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</si>
  <si>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</si>
  <si>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</si>
  <si>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</si>
  <si>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</si>
  <si>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</si>
  <si>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</si>
  <si>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</si>
  <si>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</si>
  <si>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</si>
  <si>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</si>
  <si>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t>Диджей (2 часа)</t>
  </si>
  <si>
    <t>Покупка/аренда декора в зону сцены ( бочки-столы (8шт), гирлянда)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</si>
</sst>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  <xf numFmtId="44" fontId="6" fillId="2" borderId="8" xfId="0" applyNumberFormat="1" applyFont="1" applyFill="1" applyBorder="1" applyAlignment="1">
      <alignment horizontal="center" vertical="center"/>
    </xf>
    <xf numFmtId="44" fontId="6" fillId="3" borderId="8" xfId="0" applyNumberFormat="1" applyFont="1" applyFill="1" applyBorder="1" applyAlignment="1">
      <alignment horizontal="center" vertical="center"/>
    </xf>
    <xf numFmtId="44" fontId="6" fillId="4" borderId="9" xfId="1" applyFont="1" applyFill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I42"/>
  <sheetViews>
    <sheetView tabSelected="1" topLeftCell="A27" zoomScale="68" zoomScaleNormal="68" workbookViewId="0">
      <selection activeCell="H40" sqref="H40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bestFit="1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28</v>
      </c>
      <c r="C5" s="3">
        <v>0.46</v>
      </c>
      <c r="D5" s="8"/>
      <c r="E5" s="8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2">
        <v>20000</v>
      </c>
      <c r="D8" s="2"/>
      <c r="E8" s="2"/>
    </row>
    <row r="10" spans="2:6" ht="15" thickBot="1" x14ac:dyDescent="0.4">
      <c r="F10" s="4"/>
    </row>
    <row r="11" spans="2:6" ht="16" thickBot="1" x14ac:dyDescent="0.4">
      <c r="B11" s="12" t="s">
        <v>5</v>
      </c>
      <c r="C11" s="13"/>
      <c r="D11" s="13"/>
      <c r="E11" s="13"/>
      <c r="F11" s="32">
        <f>F14-F19</f>
        <v>7281911.0638297871</v>
      </c>
    </row>
    <row r="12" spans="2:6" ht="15" thickBot="1" x14ac:dyDescent="0.4">
      <c r="B12" s="14"/>
      <c r="C12" s="14"/>
      <c r="D12" s="14"/>
      <c r="E12" s="14"/>
      <c r="F12" s="15"/>
    </row>
    <row r="13" spans="2:6" ht="16" thickBot="1" x14ac:dyDescent="0.4">
      <c r="B13" s="16" t="s">
        <v>6</v>
      </c>
      <c r="C13" s="17"/>
      <c r="D13" s="17"/>
      <c r="E13" s="17"/>
      <c r="F13" s="33">
        <f>F14</f>
        <v>12500000</v>
      </c>
    </row>
    <row r="14" spans="2:6" x14ac:dyDescent="0.35">
      <c r="B14" s="18" t="s">
        <v>7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8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6" ht="15" thickBot="1" x14ac:dyDescent="0.4">
      <c r="B17" s="21"/>
      <c r="C17" s="21"/>
      <c r="D17" s="21"/>
      <c r="E17" s="21"/>
      <c r="F17" s="21"/>
    </row>
    <row r="18" spans="2:6" ht="16" thickBot="1" x14ac:dyDescent="0.4">
      <c r="B18" s="22" t="s">
        <v>9</v>
      </c>
      <c r="C18" s="23"/>
      <c r="D18" s="23"/>
      <c r="E18" s="23"/>
      <c r="F18" s="34">
        <f>F19</f>
        <v>5218088.9361702129</v>
      </c>
    </row>
    <row r="19" spans="2:6" x14ac:dyDescent="0.35">
      <c r="B19" s="24" t="s">
        <v>10</v>
      </c>
      <c r="C19" s="24"/>
      <c r="D19" s="24"/>
      <c r="E19" s="24"/>
      <c r="F19" s="25">
        <f>F20+F21+F22+F23+F24+F38+F40+F29+F34+F35+F36+F37</f>
        <v>5218088.9361702129</v>
      </c>
    </row>
    <row r="20" spans="2:6" x14ac:dyDescent="0.35">
      <c r="B20" s="26" t="s">
        <v>11</v>
      </c>
      <c r="C20" s="27"/>
      <c r="D20" s="27"/>
      <c r="E20" s="27"/>
      <c r="F20" s="5">
        <v>400000</v>
      </c>
    </row>
    <row r="21" spans="2:6" x14ac:dyDescent="0.35">
      <c r="B21" s="26" t="s">
        <v>20</v>
      </c>
      <c r="C21" s="27"/>
      <c r="D21" s="27"/>
      <c r="E21" s="27"/>
      <c r="F21" s="5">
        <v>30000</v>
      </c>
    </row>
    <row r="22" spans="2:6" x14ac:dyDescent="0.35">
      <c r="B22" s="26" t="s">
        <v>35</v>
      </c>
      <c r="C22" s="27"/>
      <c r="D22" s="28">
        <f>6200+500+2500</f>
        <v>9200</v>
      </c>
      <c r="E22" s="27"/>
      <c r="F22" s="5">
        <f>D22</f>
        <v>9200</v>
      </c>
    </row>
    <row r="23" spans="2:6" x14ac:dyDescent="0.35">
      <c r="B23" s="20" t="s">
        <v>8</v>
      </c>
      <c r="C23" s="20"/>
      <c r="D23" s="20"/>
      <c r="E23" s="20"/>
      <c r="F23" s="6">
        <f>C2*C3*C4</f>
        <v>2875000</v>
      </c>
    </row>
    <row r="24" spans="2:6" x14ac:dyDescent="0.35">
      <c r="B24" s="20" t="s">
        <v>12</v>
      </c>
      <c r="C24" s="20"/>
      <c r="D24" s="20"/>
      <c r="E24" s="20"/>
      <c r="F24" s="6">
        <f>SUM(F25:F28)</f>
        <v>1081860</v>
      </c>
    </row>
    <row r="25" spans="2:6" x14ac:dyDescent="0.35">
      <c r="B25" s="20" t="s">
        <v>13</v>
      </c>
      <c r="C25" s="29">
        <v>12</v>
      </c>
      <c r="D25" s="28">
        <v>6500</v>
      </c>
      <c r="E25" s="20" t="s">
        <v>29</v>
      </c>
      <c r="F25" s="7">
        <f>(D25*C25)*1.46*C6</f>
        <v>341640</v>
      </c>
    </row>
    <row r="26" spans="2:6" x14ac:dyDescent="0.35">
      <c r="B26" s="20" t="s">
        <v>14</v>
      </c>
      <c r="C26" s="29">
        <v>6</v>
      </c>
      <c r="D26" s="28">
        <v>4000</v>
      </c>
      <c r="E26" s="20" t="s">
        <v>29</v>
      </c>
      <c r="F26" s="7">
        <f>(D26*C26)*1.46*C6</f>
        <v>105120</v>
      </c>
    </row>
    <row r="27" spans="2:6" x14ac:dyDescent="0.35">
      <c r="B27" s="20" t="s">
        <v>15</v>
      </c>
      <c r="C27" s="29">
        <v>25</v>
      </c>
      <c r="D27" s="28">
        <v>4000</v>
      </c>
      <c r="E27" s="20" t="s">
        <v>29</v>
      </c>
      <c r="F27" s="7">
        <f>(D27*C27)*1.46*C6</f>
        <v>438000</v>
      </c>
    </row>
    <row r="28" spans="2:6" x14ac:dyDescent="0.35">
      <c r="B28" s="20" t="s">
        <v>16</v>
      </c>
      <c r="C28" s="29">
        <v>10</v>
      </c>
      <c r="D28" s="28">
        <v>4500</v>
      </c>
      <c r="E28" s="20" t="s">
        <v>29</v>
      </c>
      <c r="F28" s="7">
        <f>(D28*C28)*1.46*C6</f>
        <v>197100</v>
      </c>
    </row>
    <row r="29" spans="2:6" x14ac:dyDescent="0.35">
      <c r="B29" s="20" t="s">
        <v>17</v>
      </c>
      <c r="C29" s="29"/>
      <c r="D29" s="28"/>
      <c r="E29" s="28"/>
      <c r="F29" s="6">
        <f>SUM(F30:F33)</f>
        <v>219148.93617021281</v>
      </c>
    </row>
    <row r="30" spans="2:6" x14ac:dyDescent="0.35">
      <c r="B30" s="20" t="s">
        <v>22</v>
      </c>
      <c r="C30" s="29">
        <v>1</v>
      </c>
      <c r="D30" s="28">
        <v>4000</v>
      </c>
      <c r="E30" s="20" t="s">
        <v>18</v>
      </c>
      <c r="F30" s="7">
        <f>(D30*C30*13)/0.94</f>
        <v>55319.148936170219</v>
      </c>
    </row>
    <row r="31" spans="2:6" x14ac:dyDescent="0.35">
      <c r="B31" s="20" t="s">
        <v>23</v>
      </c>
      <c r="C31" s="30">
        <v>4</v>
      </c>
      <c r="D31" s="28">
        <v>2000</v>
      </c>
      <c r="E31" s="20" t="s">
        <v>18</v>
      </c>
      <c r="F31" s="7">
        <f>(D31*C31*5*C6)/0.94</f>
        <v>127659.57446808512</v>
      </c>
    </row>
    <row r="32" spans="2:6" x14ac:dyDescent="0.35">
      <c r="B32" s="20" t="s">
        <v>36</v>
      </c>
      <c r="C32" s="30">
        <v>1</v>
      </c>
      <c r="D32" s="28">
        <v>5000</v>
      </c>
      <c r="E32" s="20" t="s">
        <v>18</v>
      </c>
      <c r="F32" s="7">
        <f>((D32*C32)*2)/0.94</f>
        <v>10638.297872340427</v>
      </c>
    </row>
    <row r="33" spans="2:9" x14ac:dyDescent="0.35">
      <c r="B33" s="20" t="s">
        <v>24</v>
      </c>
      <c r="C33" s="30">
        <v>2</v>
      </c>
      <c r="D33" s="28">
        <v>2000</v>
      </c>
      <c r="E33" s="20" t="s">
        <v>18</v>
      </c>
      <c r="F33" s="7">
        <f>((C33*D33)*6)/0.94</f>
        <v>25531.914893617024</v>
      </c>
    </row>
    <row r="34" spans="2:9" x14ac:dyDescent="0.35">
      <c r="B34" s="20" t="s">
        <v>25</v>
      </c>
      <c r="C34" s="20"/>
      <c r="D34" s="28"/>
      <c r="E34" s="20"/>
      <c r="F34" s="6">
        <v>50000</v>
      </c>
    </row>
    <row r="35" spans="2:9" ht="29" x14ac:dyDescent="0.35">
      <c r="B35" s="11" t="s">
        <v>31</v>
      </c>
      <c r="C35" s="20"/>
      <c r="D35" s="28">
        <f>187000</f>
        <v>187000</v>
      </c>
      <c r="E35" s="20" t="s">
        <v>32</v>
      </c>
      <c r="F35" s="6">
        <f>D35</f>
        <v>187000</v>
      </c>
      <c r="I35" s="10"/>
    </row>
    <row r="36" spans="2:9" x14ac:dyDescent="0.35">
      <c r="B36" s="11" t="s">
        <v>33</v>
      </c>
      <c r="C36" s="30">
        <v>5</v>
      </c>
      <c r="D36" s="28">
        <v>15000</v>
      </c>
      <c r="E36" s="20" t="s">
        <v>32</v>
      </c>
      <c r="F36" s="6">
        <f>D36</f>
        <v>15000</v>
      </c>
      <c r="I36" s="10"/>
    </row>
    <row r="37" spans="2:9" ht="29" x14ac:dyDescent="0.35">
      <c r="B37" s="11" t="s">
        <v>37</v>
      </c>
      <c r="C37" s="30"/>
      <c r="D37" s="28">
        <f>65880+5000</f>
        <v>70880</v>
      </c>
      <c r="E37" s="20" t="s">
        <v>32</v>
      </c>
      <c r="F37" s="6">
        <f>D37</f>
        <v>70880</v>
      </c>
      <c r="G37" t="s">
        <v>34</v>
      </c>
      <c r="I37" s="10"/>
    </row>
    <row r="38" spans="2:9" x14ac:dyDescent="0.35">
      <c r="B38" s="20" t="s">
        <v>26</v>
      </c>
      <c r="C38" s="20"/>
      <c r="D38" s="20"/>
      <c r="E38" s="20"/>
      <c r="F38" s="6">
        <f>F39</f>
        <v>220000</v>
      </c>
    </row>
    <row r="39" spans="2:9" ht="16" customHeight="1" x14ac:dyDescent="0.35">
      <c r="B39" s="31" t="s">
        <v>27</v>
      </c>
      <c r="C39" s="29">
        <v>3</v>
      </c>
      <c r="D39" s="7">
        <v>220000</v>
      </c>
      <c r="E39" s="20"/>
      <c r="F39" s="6">
        <f>D39</f>
        <v>220000</v>
      </c>
      <c r="G39" s="9" t="s">
        <v>30</v>
      </c>
    </row>
    <row r="40" spans="2:9" x14ac:dyDescent="0.35">
      <c r="B40" s="20" t="s">
        <v>19</v>
      </c>
      <c r="C40" s="20"/>
      <c r="D40" s="20"/>
      <c r="E40" s="20"/>
      <c r="F40" s="6">
        <f>C8*C6</f>
        <v>60000</v>
      </c>
    </row>
    <row r="42" spans="2:9" x14ac:dyDescent="0.35">
      <c r="F42" s="1"/>
    </row>
  </sheetData>
  <pageMargins left="0.7" right="0.7" top="0.75" bottom="0.75" header="0.3" footer="0.3"/>
  <pageSetup paperSize="9" scale="4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2026-10-16T10:55:03Z</cp:lastPrinted>
  <dcterms:created xsi:type="dcterms:W3CDTF">2026-09-23T14:27:38Z</dcterms:created>
  <dcterms:modified xsi:type="dcterms:W3CDTF">2026-10-16T12:05:50Z</dcterms:modified>
</cp:coreProperties>
</file>