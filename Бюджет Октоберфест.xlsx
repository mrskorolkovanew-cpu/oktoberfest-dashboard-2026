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Desktop\Новая папка\Заполнено_в работу\"/>
    </mc:Choice>
  </mc:AlternateContent>
  <xr:revisionPtr revIDLastSave="0" documentId="13_ncr:1_{8020D3A0-AE4D-4013-A820-0AAB44123AFF}" xr6:coauthVersionLast="47" xr6:coauthVersionMax="47" xr10:uidLastSave="{00000000-0000-0000-0000-000000000000}"/>
  <bookViews>
    <workbookView xWindow="28680" yWindow="-120" windowWidth="29040" windowHeight="15720" xr2:uid="{C4098E21-8114-453D-B14B-0A5D84D90A8A}"/>
  </bookViews>
  <sheets>
    <sheet name="Октоберфест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36" i="1"/>
  <c r="F24" i="1"/>
  <c r="F37" i="1"/>
  <c r="F33" i="1"/>
  <c r="F32" i="1"/>
  <c r="F31" i="1"/>
  <c r="F29" i="1" s="1"/>
  <c r="F23" i="1"/>
  <c r="F16" i="1"/>
  <c r="F15" i="1" s="1"/>
  <c r="F14" i="1" s="1"/>
  <c r="F19" i="1" l="1"/>
  <c r="F12" i="1" l="1"/>
</calcChain>
</file>

<file path=xl/sharedStrings.xml><?xml version="1.0" encoding="utf-8"?>
<sst xmlns="http://schemas.openxmlformats.org/spreadsheetml/2006/main" count="38" uniqueCount="30">
  <si>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</si>
  <si>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</si>
  <si>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</si>
  <si>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</si>
  <si>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</si>
  <si>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</si>
  <si>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</si>
  <si>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</si>
  <si>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</si>
  <si>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</si>
  <si>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</si>
  <si>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</si>
  <si>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</si>
  <si>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</si>
  <si>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смена</t>
  </si>
  <si>
    <t>Клининг</t>
  </si>
  <si>
    <t>Официанты</t>
  </si>
  <si>
    <t>Бармены</t>
  </si>
  <si>
    <t>Ивенты ФОТ</t>
  </si>
  <si>
    <t>Ведущий</t>
  </si>
  <si>
    <t xml:space="preserve">Аниматоры </t>
  </si>
  <si>
    <t>час</t>
  </si>
  <si>
    <t>с НДС 6%</t>
  </si>
  <si>
    <t>Диджей</t>
  </si>
  <si>
    <t>Мастер классы (аниматоры)</t>
  </si>
  <si>
    <t>Мастер классы (расходники)</t>
  </si>
  <si>
    <t>Призовой фонд</t>
  </si>
  <si>
    <t>Оборудование для Фуд</t>
  </si>
  <si>
    <t>Аренда оборудования для Анимации</t>
  </si>
  <si>
    <t>Изготовление и поставка рекламного баннера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</si>
</sst>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44" fontId="0" fillId="0" borderId="0" xfId="1" applyFont="1"/>
    <xf numFmtId="9" fontId="2" fillId="2" borderId="0" xfId="2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4" fillId="3" borderId="1" xfId="0" applyFont="1" applyFill="1" applyBorder="1"/>
    <xf numFmtId="0" fontId="4" fillId="3" borderId="2" xfId="0" applyFont="1" applyFill="1" applyBorder="1"/>
    <xf numFmtId="44" fontId="4" fillId="3" borderId="2" xfId="0" applyNumberFormat="1" applyFont="1" applyFill="1" applyBorder="1" applyAlignment="1">
      <alignment horizontal="center" vertical="center"/>
    </xf>
    <xf numFmtId="0" fontId="4" fillId="4" borderId="1" xfId="0" applyFont="1" applyFill="1" applyBorder="1"/>
    <xf numFmtId="0" fontId="4" fillId="4" borderId="2" xfId="0" applyFont="1" applyFill="1" applyBorder="1"/>
    <xf numFmtId="44" fontId="4" fillId="4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/>
    <xf numFmtId="44" fontId="3" fillId="4" borderId="3" xfId="0" applyNumberFormat="1" applyFont="1" applyFill="1" applyBorder="1"/>
    <xf numFmtId="0" fontId="0" fillId="0" borderId="4" xfId="0" applyBorder="1"/>
    <xf numFmtId="44" fontId="0" fillId="0" borderId="4" xfId="1" applyFont="1" applyBorder="1"/>
    <xf numFmtId="0" fontId="4" fillId="5" borderId="5" xfId="0" applyFont="1" applyFill="1" applyBorder="1"/>
    <xf numFmtId="0" fontId="4" fillId="5" borderId="6" xfId="0" applyFont="1" applyFill="1" applyBorder="1"/>
    <xf numFmtId="0" fontId="3" fillId="5" borderId="3" xfId="0" applyFont="1" applyFill="1" applyBorder="1"/>
    <xf numFmtId="44" fontId="3" fillId="5" borderId="3" xfId="0" applyNumberFormat="1" applyFont="1" applyFill="1" applyBorder="1"/>
    <xf numFmtId="0" fontId="0" fillId="0" borderId="4" xfId="0" applyBorder="1" applyAlignment="1">
      <alignment horizontal="center" vertical="center"/>
    </xf>
    <xf numFmtId="44" fontId="0" fillId="0" borderId="4" xfId="0" applyNumberFormat="1" applyBorder="1"/>
    <xf numFmtId="0" fontId="0" fillId="0" borderId="4" xfId="0" applyBorder="1" applyAlignment="1">
      <alignment horizontal="center"/>
    </xf>
    <xf numFmtId="1" fontId="0" fillId="0" borderId="0" xfId="0" applyNumberFormat="1"/>
    <xf numFmtId="0" fontId="0" fillId="0" borderId="0" xfId="0" applyBorder="1"/>
    <xf numFmtId="44" fontId="4" fillId="5" borderId="7" xfId="1" applyFont="1" applyFill="1" applyBorder="1"/>
    <xf numFmtId="0" fontId="3" fillId="0" borderId="0" xfId="0" applyFont="1" applyFill="1"/>
    <xf numFmtId="44" fontId="3" fillId="0" borderId="0" xfId="0" applyNumberFormat="1" applyFont="1" applyFill="1" applyAlignment="1">
      <alignment horizontal="center" vertical="center"/>
    </xf>
    <xf numFmtId="44" fontId="0" fillId="0" borderId="4" xfId="0" applyNumberFormat="1" applyBorder="1" applyAlignment="1">
      <alignment horizontal="center"/>
    </xf>
    <xf numFmtId="0" fontId="0" fillId="6" borderId="3" xfId="0" applyFill="1" applyBorder="1"/>
    <xf numFmtId="0" fontId="3" fillId="6" borderId="3" xfId="0" applyFont="1" applyFill="1" applyBorder="1"/>
    <xf numFmtId="0" fontId="0" fillId="6" borderId="4" xfId="0" applyFill="1" applyBorder="1"/>
    <xf numFmtId="44" fontId="5" fillId="6" borderId="3" xfId="0" applyNumberFormat="1" applyFont="1" applyFill="1" applyBorder="1"/>
    <xf numFmtId="44" fontId="5" fillId="6" borderId="4" xfId="1" applyFont="1" applyFill="1" applyBorder="1"/>
    <xf numFmtId="44" fontId="6" fillId="6" borderId="4" xfId="1" applyFont="1" applyFill="1" applyBorder="1"/>
    <xf numFmtId="0" fontId="0" fillId="6" borderId="4" xfId="0" applyFill="1" applyBorder="1" applyAlignment="1">
      <alignment horizontal="center" vertical="center"/>
    </xf>
    <xf numFmtId="44" fontId="0" fillId="6" borderId="4" xfId="0" applyNumberFormat="1" applyFill="1" applyBorder="1"/>
    <xf numFmtId="44" fontId="7" fillId="0" borderId="4" xfId="1" applyFont="1" applyBorder="1"/>
    <xf numFmtId="44" fontId="8" fillId="0" borderId="4" xfId="1" applyFont="1" applyBorder="1"/>
    <xf numFmtId="44" fontId="7" fillId="6" borderId="4" xfId="1" applyFont="1" applyFill="1" applyBorder="1"/>
    <xf numFmtId="0" fontId="0" fillId="6" borderId="3" xfId="0" applyFill="1" applyBorder="1" applyAlignment="1">
      <alignment wrapText="1"/>
    </xf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dimension ref="B2:G39"/>
  <sheetViews>
    <sheetView tabSelected="1" zoomScale="98" zoomScaleNormal="98" workbookViewId="0">
      <selection activeCell="F29" sqref="F29"/>
    </sheetView>
  </sheetViews>
  <sheetFormatPr defaultRowHeight="14.5" x14ac:dyDescent="0.35"/>
  <cols>
    <col min="2" max="2" width="38.90625" customWidth="1"/>
    <col min="3" max="3" width="12.26953125" bestFit="1" customWidth="1"/>
    <col min="4" max="5" width="12.26953125" customWidth="1"/>
    <col min="6" max="6" width="19.08984375" customWidth="1"/>
    <col min="7" max="7" width="8.984375E-2" customWidth="1"/>
  </cols>
  <sheetData>
    <row r="2" spans="2:6" x14ac:dyDescent="0.35">
      <c r="B2" t="s">
        <v>0</v>
      </c>
      <c r="C2" s="1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2">
        <v>0.23</v>
      </c>
      <c r="D4" s="2"/>
      <c r="E4" s="2"/>
    </row>
    <row r="5" spans="2:6" x14ac:dyDescent="0.35">
      <c r="B5" t="s">
        <v>3</v>
      </c>
      <c r="C5">
        <v>3</v>
      </c>
    </row>
    <row r="6" spans="2:6" x14ac:dyDescent="0.35">
      <c r="B6" t="s">
        <v>4</v>
      </c>
      <c r="C6" s="1">
        <v>20000</v>
      </c>
      <c r="D6" s="1"/>
      <c r="E6" s="1"/>
    </row>
    <row r="7" spans="2:6" x14ac:dyDescent="0.35">
      <c r="C7" s="3"/>
    </row>
    <row r="11" spans="2:6" ht="15" thickBot="1" x14ac:dyDescent="0.4">
      <c r="F11" s="4"/>
    </row>
    <row r="12" spans="2:6" ht="16" thickBot="1" x14ac:dyDescent="0.4">
      <c r="B12" s="5" t="s">
        <v>5</v>
      </c>
      <c r="C12" s="6"/>
      <c r="D12" s="6"/>
      <c r="E12" s="6"/>
      <c r="F12" s="7">
        <f>F15-F20</f>
        <v>6829531.9138297876</v>
      </c>
    </row>
    <row r="13" spans="2:6" ht="15" thickBot="1" x14ac:dyDescent="0.4">
      <c r="B13" s="25"/>
      <c r="C13" s="25"/>
      <c r="D13" s="25"/>
      <c r="E13" s="25"/>
      <c r="F13" s="26"/>
    </row>
    <row r="14" spans="2:6" ht="16" thickBot="1" x14ac:dyDescent="0.4">
      <c r="B14" s="8" t="s">
        <v>6</v>
      </c>
      <c r="C14" s="9"/>
      <c r="D14" s="9"/>
      <c r="E14" s="9"/>
      <c r="F14" s="10">
        <f>F15</f>
        <v>12500000</v>
      </c>
    </row>
    <row r="15" spans="2:6" x14ac:dyDescent="0.35">
      <c r="B15" s="11" t="s">
        <v>7</v>
      </c>
      <c r="C15" s="11"/>
      <c r="D15" s="11"/>
      <c r="E15" s="11"/>
      <c r="F15" s="12">
        <f>SUM(F16:F18)</f>
        <v>12500000</v>
      </c>
    </row>
    <row r="16" spans="2:6" x14ac:dyDescent="0.35">
      <c r="B16" s="13" t="s">
        <v>8</v>
      </c>
      <c r="C16" s="13"/>
      <c r="D16" s="13"/>
      <c r="E16" s="13"/>
      <c r="F16" s="14">
        <f>C2*C3</f>
        <v>12500000</v>
      </c>
    </row>
    <row r="17" spans="2:7" x14ac:dyDescent="0.35">
      <c r="B17" s="23"/>
      <c r="C17" s="23"/>
      <c r="D17" s="23"/>
      <c r="E17" s="23"/>
    </row>
    <row r="18" spans="2:7" ht="15" thickBot="1" x14ac:dyDescent="0.4">
      <c r="B18" s="23"/>
      <c r="C18" s="23"/>
      <c r="D18" s="23"/>
      <c r="E18" s="23"/>
    </row>
    <row r="19" spans="2:7" ht="16" thickBot="1" x14ac:dyDescent="0.4">
      <c r="B19" s="15" t="s">
        <v>9</v>
      </c>
      <c r="C19" s="16"/>
      <c r="D19" s="16"/>
      <c r="E19" s="16"/>
      <c r="F19" s="24">
        <f>F20</f>
        <v>5670468.0861702124</v>
      </c>
    </row>
    <row r="20" spans="2:7" x14ac:dyDescent="0.35">
      <c r="B20" s="17" t="s">
        <v>10</v>
      </c>
      <c r="C20" s="17"/>
      <c r="D20" s="17"/>
      <c r="E20" s="17"/>
      <c r="F20" s="18">
        <f>F21+F22+F23+F24+F36+F37+F29+F34+F35</f>
        <v>5670468.0861702124</v>
      </c>
    </row>
    <row r="21" spans="2:7" x14ac:dyDescent="0.35">
      <c r="B21" s="28" t="s">
        <v>11</v>
      </c>
      <c r="C21" s="29"/>
      <c r="D21" s="29"/>
      <c r="E21" s="29"/>
      <c r="F21" s="31">
        <v>400000</v>
      </c>
    </row>
    <row r="22" spans="2:7" ht="15.5" customHeight="1" x14ac:dyDescent="0.35">
      <c r="B22" s="39" t="s">
        <v>29</v>
      </c>
      <c r="C22" s="29"/>
      <c r="D22" s="29"/>
      <c r="E22" s="29"/>
      <c r="F22" s="31">
        <v>30000</v>
      </c>
    </row>
    <row r="23" spans="2:7" x14ac:dyDescent="0.35">
      <c r="B23" s="30" t="s">
        <v>8</v>
      </c>
      <c r="C23" s="30"/>
      <c r="D23" s="30"/>
      <c r="E23" s="30"/>
      <c r="F23" s="32">
        <f>C2*C3*C4</f>
        <v>2875000</v>
      </c>
    </row>
    <row r="24" spans="2:7" x14ac:dyDescent="0.35">
      <c r="B24" s="30" t="s">
        <v>12</v>
      </c>
      <c r="C24" s="30"/>
      <c r="D24" s="30"/>
      <c r="E24" s="30"/>
      <c r="F24" s="33">
        <f>SUM(F25:F28)*C5</f>
        <v>741000</v>
      </c>
    </row>
    <row r="25" spans="2:7" x14ac:dyDescent="0.35">
      <c r="B25" s="13" t="s">
        <v>13</v>
      </c>
      <c r="C25" s="19">
        <v>12</v>
      </c>
      <c r="D25" s="20">
        <v>6500</v>
      </c>
      <c r="E25" s="27" t="s">
        <v>14</v>
      </c>
      <c r="F25" s="37">
        <v>78000</v>
      </c>
    </row>
    <row r="26" spans="2:7" x14ac:dyDescent="0.35">
      <c r="B26" s="13" t="s">
        <v>15</v>
      </c>
      <c r="C26" s="19">
        <v>6</v>
      </c>
      <c r="D26" s="20">
        <v>4000</v>
      </c>
      <c r="E26" s="27" t="s">
        <v>14</v>
      </c>
      <c r="F26" s="37">
        <v>24000</v>
      </c>
    </row>
    <row r="27" spans="2:7" x14ac:dyDescent="0.35">
      <c r="B27" s="13" t="s">
        <v>16</v>
      </c>
      <c r="C27" s="19">
        <v>25</v>
      </c>
      <c r="D27" s="20">
        <v>4000</v>
      </c>
      <c r="E27" s="27" t="s">
        <v>14</v>
      </c>
      <c r="F27" s="37">
        <v>100000</v>
      </c>
    </row>
    <row r="28" spans="2:7" x14ac:dyDescent="0.35">
      <c r="B28" s="13" t="s">
        <v>17</v>
      </c>
      <c r="C28" s="19">
        <v>10</v>
      </c>
      <c r="D28" s="20">
        <v>4500</v>
      </c>
      <c r="E28" s="27" t="s">
        <v>14</v>
      </c>
      <c r="F28" s="37">
        <v>45000</v>
      </c>
    </row>
    <row r="29" spans="2:7" x14ac:dyDescent="0.35">
      <c r="B29" s="30" t="s">
        <v>18</v>
      </c>
      <c r="C29" s="34"/>
      <c r="D29" s="35"/>
      <c r="E29" s="35"/>
      <c r="F29" s="33">
        <f>SUM(F30:F33)</f>
        <v>224468.08617021277</v>
      </c>
    </row>
    <row r="30" spans="2:7" x14ac:dyDescent="0.35">
      <c r="B30" s="13" t="s">
        <v>19</v>
      </c>
      <c r="C30" s="13"/>
      <c r="D30" s="13"/>
      <c r="E30" s="13"/>
      <c r="F30" s="36">
        <v>55319.15</v>
      </c>
    </row>
    <row r="31" spans="2:7" x14ac:dyDescent="0.35">
      <c r="B31" s="13" t="s">
        <v>20</v>
      </c>
      <c r="C31" s="21">
        <v>4</v>
      </c>
      <c r="D31" s="20">
        <v>2000</v>
      </c>
      <c r="E31" s="21" t="s">
        <v>21</v>
      </c>
      <c r="F31" s="36">
        <f>((D31*C31)*5*C5)/0.94</f>
        <v>127659.57446808512</v>
      </c>
      <c r="G31" t="s">
        <v>22</v>
      </c>
    </row>
    <row r="32" spans="2:7" x14ac:dyDescent="0.35">
      <c r="B32" s="13" t="s">
        <v>23</v>
      </c>
      <c r="C32" s="21">
        <v>1</v>
      </c>
      <c r="D32" s="20">
        <v>5000</v>
      </c>
      <c r="E32" s="21" t="s">
        <v>21</v>
      </c>
      <c r="F32" s="36">
        <f>((C32*D32)*3)/0.94</f>
        <v>15957.44680851064</v>
      </c>
      <c r="G32" t="s">
        <v>22</v>
      </c>
    </row>
    <row r="33" spans="2:7" x14ac:dyDescent="0.35">
      <c r="B33" s="13" t="s">
        <v>24</v>
      </c>
      <c r="C33" s="21">
        <v>2</v>
      </c>
      <c r="D33" s="20">
        <v>2000</v>
      </c>
      <c r="E33" s="21" t="s">
        <v>21</v>
      </c>
      <c r="F33" s="36">
        <f>(D33*C33)*6/0.94</f>
        <v>25531.914893617024</v>
      </c>
      <c r="G33" t="s">
        <v>22</v>
      </c>
    </row>
    <row r="34" spans="2:7" x14ac:dyDescent="0.35">
      <c r="B34" s="30" t="s">
        <v>25</v>
      </c>
      <c r="C34" s="30"/>
      <c r="D34" s="30"/>
      <c r="E34" s="30"/>
      <c r="F34" s="38">
        <v>50000</v>
      </c>
    </row>
    <row r="35" spans="2:7" x14ac:dyDescent="0.35">
      <c r="B35" s="30" t="s">
        <v>28</v>
      </c>
      <c r="C35" s="30"/>
      <c r="D35" s="30"/>
      <c r="E35" s="30"/>
      <c r="F35" s="38">
        <v>840000</v>
      </c>
    </row>
    <row r="36" spans="2:7" x14ac:dyDescent="0.35">
      <c r="B36" s="30" t="s">
        <v>27</v>
      </c>
      <c r="C36" s="30"/>
      <c r="D36" s="30"/>
      <c r="E36" s="30"/>
      <c r="F36" s="38">
        <f>150000*C5</f>
        <v>450000</v>
      </c>
    </row>
    <row r="37" spans="2:7" x14ac:dyDescent="0.35">
      <c r="B37" s="30" t="s">
        <v>26</v>
      </c>
      <c r="C37" s="30"/>
      <c r="D37" s="30"/>
      <c r="E37" s="30"/>
      <c r="F37" s="38">
        <f>C6*C5</f>
        <v>60000</v>
      </c>
    </row>
    <row r="39" spans="2:7" x14ac:dyDescent="0.35">
      <c r="F39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dcterms:created xsi:type="dcterms:W3CDTF">2026-09-23T14:27:38Z</dcterms:created>
  <dcterms:modified xsi:type="dcterms:W3CDTF">2026-09-23T14:54:32Z</dcterms:modified>
</cp:coreProperties>
</file>