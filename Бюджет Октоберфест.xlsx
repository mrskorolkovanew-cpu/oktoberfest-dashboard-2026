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korolkova\Desktop\Новая папка\Заполнено_в работу\"/>
    </mc:Choice>
  </mc:AlternateContent>
  <xr:revisionPtr revIDLastSave="0" documentId="13_ncr:1_{676D059A-E334-4F4E-B3BD-71A6E777574B}" xr6:coauthVersionLast="47" xr6:coauthVersionMax="47" xr10:uidLastSave="{00000000-0000-0000-0000-000000000000}"/>
  <bookViews>
    <workbookView xWindow="28680" yWindow="-120" windowWidth="29040" windowHeight="15720" xr2:uid="{C4098E21-8114-453D-B14B-0A5D84D90A8A}"/>
  </bookViews>
  <sheets>
    <sheet name="Октоберфес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40" i="1"/>
  <c r="F39" i="1"/>
  <c r="F38" i="1"/>
  <c r="F37" i="1"/>
  <c r="F35" i="1"/>
  <c r="F34" i="1"/>
  <c r="F33" i="1"/>
  <c r="F32" i="1"/>
  <c r="F31" i="1"/>
  <c r="F30" i="1"/>
  <c r="F29" i="1"/>
  <c r="F28" i="1"/>
  <c r="F27" i="1"/>
  <c r="F26" i="1"/>
  <c r="F25" i="1"/>
  <c r="F22" i="1"/>
  <c r="F21" i="1"/>
  <c r="F17" i="1"/>
  <c r="F14" i="1" l="1"/>
  <c r="F16" i="1"/>
</calcChain>
</file>

<file path=xl/sharedStrings.xml><?xml version="1.0" encoding="utf-8"?>
<sst xmlns="http://schemas.openxmlformats.org/spreadsheetml/2006/main" count="41" uniqueCount="34">
  <si>
    <t>Средний чек</t>
  </si>
  <si>
    <t>Посещение</t>
  </si>
  <si>
    <t>СС фуд</t>
  </si>
  <si>
    <t>Дней работы</t>
  </si>
  <si>
    <t>Призовой фонд в день</t>
  </si>
  <si>
    <t>Прибыль</t>
  </si>
  <si>
    <t>Доход накопительным итогом</t>
  </si>
  <si>
    <t>Доходы</t>
  </si>
  <si>
    <t>Еда</t>
  </si>
  <si>
    <t>Расходы накопительным итогом</t>
  </si>
  <si>
    <t>Расходы</t>
  </si>
  <si>
    <t>Реклама и продвижение (VK)</t>
  </si>
  <si>
    <t>ФОТ ФУД</t>
  </si>
  <si>
    <t>Повара</t>
  </si>
  <si>
    <t>Клининг</t>
  </si>
  <si>
    <t>Официанты</t>
  </si>
  <si>
    <t>Бармены</t>
  </si>
  <si>
    <t>Ивенты ФОТ</t>
  </si>
  <si>
    <t>час</t>
  </si>
  <si>
    <t>Призовой фонд</t>
  </si>
  <si>
    <t>Изготовление и поставка рекламного баннера</t>
  </si>
  <si>
    <t>Аниматоры</t>
  </si>
  <si>
    <t>Ведущий (13 часов)</t>
  </si>
  <si>
    <t>Аниматоры (по 5 часов)</t>
  </si>
  <si>
    <t>Диджей (3 часа)</t>
  </si>
  <si>
    <t>Мастер классы (аниматоры 6 часов)</t>
  </si>
  <si>
    <t>Мастер классы (расходники на 2 дня)</t>
  </si>
  <si>
    <t>Аренда оборудования (для ведущего и диджея)</t>
  </si>
  <si>
    <t>день</t>
  </si>
  <si>
    <t>Оборудование ФУД</t>
  </si>
  <si>
    <t>Стоимость гриля (за 3 шт)</t>
  </si>
  <si>
    <t>налоги на ФОТ ФУД (*1,46)</t>
  </si>
  <si>
    <t>смена</t>
  </si>
  <si>
    <t>Покупаем один раз и используем на всех фестивалях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</si>
</sst>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44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2" xfId="0" applyFont="1" applyFill="1" applyBorder="1"/>
    <xf numFmtId="44" fontId="3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/>
    <xf numFmtId="44" fontId="2" fillId="3" borderId="3" xfId="0" applyNumberFormat="1" applyFont="1" applyFill="1" applyBorder="1"/>
    <xf numFmtId="0" fontId="0" fillId="0" borderId="4" xfId="0" applyBorder="1"/>
    <xf numFmtId="44" fontId="0" fillId="0" borderId="4" xfId="1" applyFont="1" applyBorder="1"/>
    <xf numFmtId="0" fontId="3" fillId="4" borderId="5" xfId="0" applyFont="1" applyFill="1" applyBorder="1"/>
    <xf numFmtId="0" fontId="3" fillId="4" borderId="6" xfId="0" applyFont="1" applyFill="1" applyBorder="1"/>
    <xf numFmtId="0" fontId="2" fillId="4" borderId="3" xfId="0" applyFont="1" applyFill="1" applyBorder="1"/>
    <xf numFmtId="44" fontId="2" fillId="4" borderId="3" xfId="0" applyNumberFormat="1" applyFont="1" applyFill="1" applyBorder="1"/>
    <xf numFmtId="0" fontId="0" fillId="0" borderId="4" xfId="0" applyBorder="1" applyAlignment="1">
      <alignment horizontal="center" vertical="center"/>
    </xf>
    <xf numFmtId="44" fontId="0" fillId="0" borderId="4" xfId="0" applyNumberFormat="1" applyBorder="1"/>
    <xf numFmtId="0" fontId="0" fillId="0" borderId="4" xfId="0" applyBorder="1" applyAlignment="1">
      <alignment horizontal="center"/>
    </xf>
    <xf numFmtId="1" fontId="0" fillId="0" borderId="0" xfId="0" applyNumberFormat="1"/>
    <xf numFmtId="44" fontId="0" fillId="0" borderId="0" xfId="1" applyFont="1"/>
    <xf numFmtId="9" fontId="5" fillId="5" borderId="0" xfId="2" applyFont="1" applyFill="1"/>
    <xf numFmtId="0" fontId="6" fillId="0" borderId="0" xfId="0" applyFont="1" applyAlignment="1">
      <alignment horizontal="center"/>
    </xf>
    <xf numFmtId="0" fontId="2" fillId="2" borderId="0" xfId="0" applyFont="1" applyFill="1"/>
    <xf numFmtId="44" fontId="2" fillId="2" borderId="0" xfId="0" applyNumberFormat="1" applyFont="1" applyFill="1" applyAlignment="1">
      <alignment horizontal="center" vertical="center"/>
    </xf>
    <xf numFmtId="0" fontId="0" fillId="0" borderId="7" xfId="0" applyBorder="1"/>
    <xf numFmtId="44" fontId="3" fillId="4" borderId="6" xfId="1" applyFont="1" applyFill="1" applyBorder="1"/>
    <xf numFmtId="0" fontId="0" fillId="0" borderId="3" xfId="0" applyBorder="1"/>
    <xf numFmtId="0" fontId="2" fillId="0" borderId="3" xfId="0" applyFont="1" applyBorder="1"/>
    <xf numFmtId="44" fontId="4" fillId="0" borderId="3" xfId="0" applyNumberFormat="1" applyFont="1" applyBorder="1"/>
    <xf numFmtId="44" fontId="4" fillId="0" borderId="4" xfId="1" applyFont="1" applyBorder="1"/>
    <xf numFmtId="44" fontId="7" fillId="0" borderId="4" xfId="1" applyFont="1" applyBorder="1"/>
    <xf numFmtId="0" fontId="0" fillId="0" borderId="4" xfId="0" applyBorder="1" applyAlignment="1">
      <alignment horizontal="right"/>
    </xf>
    <xf numFmtId="9" fontId="5" fillId="0" borderId="0" xfId="2" applyFont="1" applyFill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D981-710B-49F4-BD8B-F9607C12061A}">
  <dimension ref="B2:G42"/>
  <sheetViews>
    <sheetView tabSelected="1" zoomScale="59" zoomScaleNormal="59" workbookViewId="0">
      <selection activeCell="T24" sqref="T24"/>
    </sheetView>
  </sheetViews>
  <sheetFormatPr defaultRowHeight="14.5" x14ac:dyDescent="0.35"/>
  <cols>
    <col min="2" max="2" width="42.54296875" customWidth="1"/>
    <col min="3" max="3" width="15.7265625" customWidth="1"/>
    <col min="4" max="4" width="16.7265625" customWidth="1"/>
    <col min="5" max="5" width="12.26953125" customWidth="1"/>
    <col min="6" max="6" width="18.54296875" customWidth="1"/>
  </cols>
  <sheetData>
    <row r="2" spans="2:6" x14ac:dyDescent="0.35">
      <c r="B2" t="s">
        <v>0</v>
      </c>
      <c r="C2" s="19">
        <v>2500</v>
      </c>
    </row>
    <row r="3" spans="2:6" x14ac:dyDescent="0.35">
      <c r="B3" t="s">
        <v>1</v>
      </c>
      <c r="C3">
        <v>5000</v>
      </c>
    </row>
    <row r="4" spans="2:6" x14ac:dyDescent="0.35">
      <c r="B4" t="s">
        <v>2</v>
      </c>
      <c r="C4" s="20">
        <v>0.23</v>
      </c>
      <c r="D4" s="32"/>
      <c r="E4" s="32"/>
    </row>
    <row r="5" spans="2:6" x14ac:dyDescent="0.35">
      <c r="B5" t="s">
        <v>31</v>
      </c>
      <c r="C5" s="20">
        <v>0.46</v>
      </c>
      <c r="D5" s="32"/>
      <c r="E5" s="32"/>
    </row>
    <row r="6" spans="2:6" x14ac:dyDescent="0.35">
      <c r="B6" t="s">
        <v>3</v>
      </c>
      <c r="C6">
        <v>3</v>
      </c>
    </row>
    <row r="7" spans="2:6" x14ac:dyDescent="0.35">
      <c r="B7" t="s">
        <v>21</v>
      </c>
      <c r="C7">
        <v>6</v>
      </c>
    </row>
    <row r="8" spans="2:6" x14ac:dyDescent="0.35">
      <c r="B8" t="s">
        <v>4</v>
      </c>
      <c r="C8" s="19">
        <v>20000</v>
      </c>
      <c r="D8" s="19"/>
      <c r="E8" s="19"/>
    </row>
    <row r="13" spans="2:6" ht="15" thickBot="1" x14ac:dyDescent="0.4">
      <c r="F13" s="21"/>
    </row>
    <row r="14" spans="2:6" ht="16" thickBot="1" x14ac:dyDescent="0.4">
      <c r="B14" s="1" t="s">
        <v>5</v>
      </c>
      <c r="C14" s="2"/>
      <c r="D14" s="2"/>
      <c r="E14" s="2"/>
      <c r="F14" s="3">
        <f>F17-F22</f>
        <v>6718671.9148936169</v>
      </c>
    </row>
    <row r="15" spans="2:6" ht="15" thickBot="1" x14ac:dyDescent="0.4">
      <c r="B15" s="22"/>
      <c r="C15" s="22"/>
      <c r="D15" s="22"/>
      <c r="E15" s="22"/>
      <c r="F15" s="23"/>
    </row>
    <row r="16" spans="2:6" ht="16" thickBot="1" x14ac:dyDescent="0.4">
      <c r="B16" s="4" t="s">
        <v>6</v>
      </c>
      <c r="C16" s="5"/>
      <c r="D16" s="5"/>
      <c r="E16" s="5"/>
      <c r="F16" s="6">
        <f>F17</f>
        <v>12500000</v>
      </c>
    </row>
    <row r="17" spans="2:6" x14ac:dyDescent="0.35">
      <c r="B17" s="7" t="s">
        <v>7</v>
      </c>
      <c r="C17" s="7"/>
      <c r="D17" s="7"/>
      <c r="E17" s="7"/>
      <c r="F17" s="8">
        <f>SUM(F18:F20)</f>
        <v>12500000</v>
      </c>
    </row>
    <row r="18" spans="2:6" x14ac:dyDescent="0.35">
      <c r="B18" s="9" t="s">
        <v>8</v>
      </c>
      <c r="C18" s="9"/>
      <c r="D18" s="9"/>
      <c r="E18" s="9"/>
      <c r="F18" s="10">
        <f>C2*C3</f>
        <v>12500000</v>
      </c>
    </row>
    <row r="19" spans="2:6" x14ac:dyDescent="0.35">
      <c r="B19" s="24"/>
      <c r="C19" s="24"/>
      <c r="D19" s="24"/>
      <c r="E19" s="24"/>
      <c r="F19" s="9"/>
    </row>
    <row r="20" spans="2:6" ht="15" thickBot="1" x14ac:dyDescent="0.4">
      <c r="B20" s="24"/>
      <c r="C20" s="24"/>
      <c r="D20" s="24"/>
      <c r="E20" s="24"/>
      <c r="F20" s="24"/>
    </row>
    <row r="21" spans="2:6" ht="16" thickBot="1" x14ac:dyDescent="0.4">
      <c r="B21" s="11" t="s">
        <v>9</v>
      </c>
      <c r="C21" s="12"/>
      <c r="D21" s="12"/>
      <c r="E21" s="12"/>
      <c r="F21" s="25">
        <f>F22</f>
        <v>5781328.0851063831</v>
      </c>
    </row>
    <row r="22" spans="2:6" x14ac:dyDescent="0.35">
      <c r="B22" s="13" t="s">
        <v>10</v>
      </c>
      <c r="C22" s="13"/>
      <c r="D22" s="13"/>
      <c r="E22" s="13"/>
      <c r="F22" s="14">
        <f>F23+F24+F25+F26+F38+F40+F31+F36+F37</f>
        <v>5781328.0851063831</v>
      </c>
    </row>
    <row r="23" spans="2:6" x14ac:dyDescent="0.35">
      <c r="B23" s="26" t="s">
        <v>11</v>
      </c>
      <c r="C23" s="27"/>
      <c r="D23" s="27"/>
      <c r="E23" s="27"/>
      <c r="F23" s="28">
        <v>400000</v>
      </c>
    </row>
    <row r="24" spans="2:6" x14ac:dyDescent="0.35">
      <c r="B24" s="26" t="s">
        <v>20</v>
      </c>
      <c r="C24" s="27"/>
      <c r="D24" s="27"/>
      <c r="E24" s="27"/>
      <c r="F24" s="28">
        <v>30000</v>
      </c>
    </row>
    <row r="25" spans="2:6" x14ac:dyDescent="0.35">
      <c r="B25" s="9" t="s">
        <v>8</v>
      </c>
      <c r="C25" s="9"/>
      <c r="D25" s="9"/>
      <c r="E25" s="9"/>
      <c r="F25" s="29">
        <f>C2*C3*C4</f>
        <v>2875000</v>
      </c>
    </row>
    <row r="26" spans="2:6" x14ac:dyDescent="0.35">
      <c r="B26" s="9" t="s">
        <v>12</v>
      </c>
      <c r="C26" s="9"/>
      <c r="D26" s="9"/>
      <c r="E26" s="9"/>
      <c r="F26" s="29">
        <f>SUM(F27:F30)</f>
        <v>1081860</v>
      </c>
    </row>
    <row r="27" spans="2:6" x14ac:dyDescent="0.35">
      <c r="B27" s="9" t="s">
        <v>13</v>
      </c>
      <c r="C27" s="15">
        <v>12</v>
      </c>
      <c r="D27" s="16">
        <v>6500</v>
      </c>
      <c r="E27" s="9" t="s">
        <v>32</v>
      </c>
      <c r="F27" s="30">
        <f>(D27*C27)*1.46*C6</f>
        <v>341640</v>
      </c>
    </row>
    <row r="28" spans="2:6" x14ac:dyDescent="0.35">
      <c r="B28" s="9" t="s">
        <v>14</v>
      </c>
      <c r="C28" s="15">
        <v>6</v>
      </c>
      <c r="D28" s="16">
        <v>4000</v>
      </c>
      <c r="E28" s="9" t="s">
        <v>32</v>
      </c>
      <c r="F28" s="30">
        <f>(D28*C28)*1.46*C6</f>
        <v>105120</v>
      </c>
    </row>
    <row r="29" spans="2:6" x14ac:dyDescent="0.35">
      <c r="B29" s="9" t="s">
        <v>15</v>
      </c>
      <c r="C29" s="15">
        <v>25</v>
      </c>
      <c r="D29" s="16">
        <v>4000</v>
      </c>
      <c r="E29" s="9" t="s">
        <v>32</v>
      </c>
      <c r="F29" s="30">
        <f>(D29*C29)*1.46*C6</f>
        <v>438000</v>
      </c>
    </row>
    <row r="30" spans="2:6" x14ac:dyDescent="0.35">
      <c r="B30" s="9" t="s">
        <v>16</v>
      </c>
      <c r="C30" s="15">
        <v>10</v>
      </c>
      <c r="D30" s="16">
        <v>4500</v>
      </c>
      <c r="E30" s="9" t="s">
        <v>32</v>
      </c>
      <c r="F30" s="30">
        <f>(D30*C30)*1.46*C6</f>
        <v>197100</v>
      </c>
    </row>
    <row r="31" spans="2:6" x14ac:dyDescent="0.35">
      <c r="B31" s="9" t="s">
        <v>17</v>
      </c>
      <c r="C31" s="15"/>
      <c r="D31" s="16"/>
      <c r="E31" s="16"/>
      <c r="F31" s="29">
        <f>SUM(F32:F35)</f>
        <v>224468.08510638302</v>
      </c>
    </row>
    <row r="32" spans="2:6" x14ac:dyDescent="0.35">
      <c r="B32" s="9" t="s">
        <v>22</v>
      </c>
      <c r="C32" s="15">
        <v>1</v>
      </c>
      <c r="D32" s="16">
        <v>4000</v>
      </c>
      <c r="E32" s="9" t="s">
        <v>18</v>
      </c>
      <c r="F32" s="30">
        <f>(D32*C32*13)/0.94</f>
        <v>55319.148936170219</v>
      </c>
    </row>
    <row r="33" spans="2:7" x14ac:dyDescent="0.35">
      <c r="B33" s="9" t="s">
        <v>23</v>
      </c>
      <c r="C33" s="17">
        <v>4</v>
      </c>
      <c r="D33" s="16">
        <v>2000</v>
      </c>
      <c r="E33" s="9" t="s">
        <v>18</v>
      </c>
      <c r="F33" s="30">
        <f>(D33*C33*5*C6)/0.94</f>
        <v>127659.57446808512</v>
      </c>
    </row>
    <row r="34" spans="2:7" x14ac:dyDescent="0.35">
      <c r="B34" s="9" t="s">
        <v>24</v>
      </c>
      <c r="C34" s="17">
        <v>1</v>
      </c>
      <c r="D34" s="16">
        <v>5000</v>
      </c>
      <c r="E34" s="9" t="s">
        <v>18</v>
      </c>
      <c r="F34" s="30">
        <f>((D34*C34)*3)/0.94</f>
        <v>15957.44680851064</v>
      </c>
    </row>
    <row r="35" spans="2:7" x14ac:dyDescent="0.35">
      <c r="B35" s="9" t="s">
        <v>25</v>
      </c>
      <c r="C35" s="17">
        <v>2</v>
      </c>
      <c r="D35" s="16">
        <v>2000</v>
      </c>
      <c r="E35" s="9" t="s">
        <v>18</v>
      </c>
      <c r="F35" s="30">
        <f>((C35*D35)*6)/0.94</f>
        <v>25531.914893617024</v>
      </c>
    </row>
    <row r="36" spans="2:7" x14ac:dyDescent="0.35">
      <c r="B36" s="9" t="s">
        <v>26</v>
      </c>
      <c r="C36" s="9"/>
      <c r="D36" s="9"/>
      <c r="E36" s="9"/>
      <c r="F36" s="29">
        <v>50000</v>
      </c>
    </row>
    <row r="37" spans="2:7" x14ac:dyDescent="0.35">
      <c r="B37" s="9" t="s">
        <v>27</v>
      </c>
      <c r="C37" s="9"/>
      <c r="D37" s="16">
        <v>280000</v>
      </c>
      <c r="E37" s="9" t="s">
        <v>28</v>
      </c>
      <c r="F37" s="29">
        <f>D37*C6</f>
        <v>840000</v>
      </c>
    </row>
    <row r="38" spans="2:7" x14ac:dyDescent="0.35">
      <c r="B38" s="9" t="s">
        <v>29</v>
      </c>
      <c r="C38" s="9"/>
      <c r="D38" s="9"/>
      <c r="E38" s="9"/>
      <c r="F38" s="29">
        <f>F39</f>
        <v>220000</v>
      </c>
    </row>
    <row r="39" spans="2:7" x14ac:dyDescent="0.35">
      <c r="B39" s="31" t="s">
        <v>30</v>
      </c>
      <c r="C39" s="15">
        <v>3</v>
      </c>
      <c r="D39" s="10">
        <v>220000</v>
      </c>
      <c r="E39" s="9"/>
      <c r="F39" s="29">
        <f>D39</f>
        <v>220000</v>
      </c>
      <c r="G39" t="s">
        <v>33</v>
      </c>
    </row>
    <row r="40" spans="2:7" x14ac:dyDescent="0.35">
      <c r="B40" s="9" t="s">
        <v>19</v>
      </c>
      <c r="C40" s="9"/>
      <c r="D40" s="9"/>
      <c r="E40" s="9"/>
      <c r="F40" s="29">
        <f>C8*C6</f>
        <v>60000</v>
      </c>
    </row>
    <row r="42" spans="2:7" x14ac:dyDescent="0.35">
      <c r="F4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Октоберфест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Королькова Кристина Анатольевна</dc:creator>
  <cp:lastModifiedBy>Королькова Кристина Анатольевна</cp:lastModifiedBy>
  <dcterms:created xsi:type="dcterms:W3CDTF">2026-09-23T14:27:38Z</dcterms:created>
  <dcterms:modified xsi:type="dcterms:W3CDTF">2026-09-29T11:35:49Z</dcterms:modified>
</cp:coreProperties>
</file>